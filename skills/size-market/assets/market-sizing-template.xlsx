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18d7bc947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c5160e4c459547bd"/>
    <x:sheet xmlns:r="http://schemas.openxmlformats.org/officeDocument/2006/relationships" name="01_结论" sheetId="2" r:id="R1c8cb27342ee4547"/>
    <x:sheet xmlns:r="http://schemas.openxmlformats.org/officeDocument/2006/relationships" name="02_口径" sheetId="3" r:id="R170765dd4094406a"/>
    <x:sheet xmlns:r="http://schemas.openxmlformats.org/officeDocument/2006/relationships" name="03_来源" sheetId="4" r:id="R60fc45c937b54901"/>
    <x:sheet xmlns:r="http://schemas.openxmlformats.org/officeDocument/2006/relationships" name="04_结构" sheetId="5" r:id="Rd906412ad5ec4bae"/>
    <x:sheet xmlns:r="http://schemas.openxmlformats.org/officeDocument/2006/relationships" name="05_驱动" sheetId="6" r:id="Re481d4d2e04b4ec9"/>
    <x:sheet xmlns:r="http://schemas.openxmlformats.org/officeDocument/2006/relationships" name="06_用户法" sheetId="7" r:id="R4acc70eee47a484d"/>
    <x:sheet xmlns:r="http://schemas.openxmlformats.org/officeDocument/2006/relationships" name="07_收入法" sheetId="8" r:id="Rb346cc8c15a6480c"/>
    <x:sheet xmlns:r="http://schemas.openxmlformats.org/officeDocument/2006/relationships" name="08_公司价值链" sheetId="9" r:id="Rc8e9bce222924828"/>
    <x:sheet xmlns:r="http://schemas.openxmlformats.org/officeDocument/2006/relationships" name="09_勾稽" sheetId="10" r:id="Rb0d8f6bfa3cf40cd"/>
    <x:sheet xmlns:r="http://schemas.openxmlformats.org/officeDocument/2006/relationships" name="10_情景" sheetId="11" r:id="Rf17a31eb42a745da"/>
    <x:sheet xmlns:r="http://schemas.openxmlformats.org/officeDocument/2006/relationships" name="11_竞争KSF" sheetId="12" r:id="R5302bb6202db46bf"/>
    <x:sheet xmlns:r="http://schemas.openxmlformats.org/officeDocument/2006/relationships" name="12_检查" sheetId="13" r:id="R449fcffbf334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&quot;$&quot;#,##0;[Red](&quot;$&quot;#,##0);-"/>
    <x:numFmt numFmtId="202" formatCode="0.0%;[Red](0.0%);-"/>
    <x:numFmt numFmtId="203" formatCode="0.00x"/>
    <x:numFmt numFmtId="204" formatCode="yyyy-mm-dd"/>
  </x:numFmts>
  <x:fonts count="18">
    <x:font>
      <x:sz val="11"/>
      <x:name val="Carlito"/>
    </x:font>
    <x:font>
      <x:sz val="10"/>
      <x:color rgb="FF1F2937"/>
      <x:name val="Aptos"/>
    </x:font>
    <x:font>
      <x:b/>
      <x:sz val="20"/>
      <x:color rgb="FFFFFFFF"/>
      <x:name val="Aptos Display"/>
    </x:font>
    <x:font>
      <x:i/>
      <x:sz val="10"/>
      <x:color rgb="FF6B7280"/>
      <x:name val="Aptos"/>
    </x:font>
    <x:font>
      <x:b/>
      <x:sz val="11"/>
      <x:color rgb="FFFFFFFF"/>
      <x:name val="Aptos"/>
    </x:font>
    <x:font>
      <x:b/>
      <x:sz val="10"/>
      <x:color rgb="FF1F2937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sz val="10"/>
      <x:color rgb="FF000000"/>
      <x:name val="Aptos"/>
    </x:font>
    <x:font>
      <x:b/>
      <x:sz val="10"/>
      <x:color rgb="FFC00000"/>
      <x:name val="Aptos"/>
    </x:font>
    <x:font>
      <x:b/>
      <x:sz val="10"/>
      <x:color rgb="FF0F766E"/>
      <x:name val="Aptos"/>
    </x:font>
    <x:font>
      <x:b/>
      <x:sz val="10"/>
      <x:color rgb="FFFFFFFF"/>
      <x:name val="Aptos"/>
    </x:font>
    <x:font>
      <x:sz val="10"/>
      <x:color rgb="FFC00000"/>
      <x:name val="Aptos"/>
    </x:font>
    <x:font>
      <x:b/>
      <x:sz val="10"/>
      <x:color rgb="FF000000"/>
      <x:name val="Aptos"/>
    </x:font>
    <x:font>
      <x:b/>
      <x:sz val="12"/>
      <x:color rgb="FF0F766E"/>
      <x:name val="Aptos"/>
    </x:font>
    <x:font>
      <x:b/>
      <x:sz val="10"/>
      <x:color rgb="FF6B7280"/>
      <x:name val="Aptos"/>
    </x:font>
    <x:font>
      <x:b/>
      <x:sz val="18"/>
      <x:color rgb="FF008000"/>
      <x:name val="Aptos"/>
    </x:font>
    <x:font>
      <x:i/>
      <x:sz val="10"/>
      <x:color rgb="FFC00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3F7"/>
      </x:patternFill>
    </x:fill>
    <x:fill>
      <x:patternFill patternType="solid">
        <x:fgColor rgb="FF0F766E"/>
      </x:patternFill>
    </x:fill>
    <x:fill>
      <x:patternFill patternType="solid">
        <x:fgColor rgb="FFEAF3FF"/>
      </x:patternFill>
    </x:fill>
    <x:fill>
      <x:patternFill patternType="solid">
        <x:fgColor rgb="FFFFF2CC"/>
      </x:patternFill>
    </x:fill>
    <x:fill>
      <x:patternFill patternType="solid">
        <x:fgColor rgb="FFF7FAFC"/>
      </x:patternFill>
    </x:fill>
  </x:fills>
  <x:borders count="10">
    <x:border/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bottom style="double">
        <x:color rgb="FF17324D"/>
      </x:bottom>
    </x:border>
    <x:border>
      <x:left style="thin">
        <x:color rgb="FFD6DEE5"/>
      </x:left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2" borderId="3" xfId="0" applyNumberFormat="1" applyFont="1" applyFill="1" applyBorder="1" applyAlignment="1">
      <x:alignment vertical="center"/>
    </x:xf>
    <x:xf numFmtId="0" fontId="11" fillId="2" borderId="2" xfId="0" applyNumberFormat="1" applyFont="1" applyFill="1" applyBorder="1" applyAlignment="1">
      <x:alignment vertical="center"/>
    </x:xf>
    <x:xf numFmtId="0" fontId="11" fillId="2" borderId="4" xfId="0" applyNumberFormat="1" applyFont="1" applyFill="1" applyBorder="1" applyAlignment="1">
      <x:alignment vertical="center"/>
    </x:xf>
    <x:xf numFmtId="0" fontId="11" fillId="2" borderId="3" xfId="0" applyNumberFormat="1" applyFont="1" applyFill="1" applyBorder="1" applyAlignment="1">
      <x:alignment vertical="center" wrapText="1"/>
    </x:xf>
    <x:xf numFmtId="0" fontId="11" fillId="2" borderId="2" xfId="0" applyNumberFormat="1" applyFont="1" applyFill="1" applyBorder="1" applyAlignment="1">
      <x:alignment vertical="center" wrapText="1"/>
    </x:xf>
    <x:xf numFmtId="0" fontId="11" fillId="2" borderId="4" xfId="0" applyNumberFormat="1" applyFont="1" applyFill="1" applyBorder="1" applyAlignment="1">
      <x:alignment vertical="center" wrapText="1"/>
    </x:xf>
    <x:xf numFmtId="0" fontId="11" fillId="2" borderId="3" xfId="0" applyNumberFormat="1" applyFont="1" applyFill="1" applyBorder="1" applyAlignment="1">
      <x:alignment horizontal="center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1" fillId="2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1" fontId="7" fillId="0" borderId="2" xfId="0" applyNumberFormat="1" applyFont="1" applyFill="1" applyBorder="1" applyAlignment="1">
      <x:alignment vertical="center"/>
    </x:xf>
    <x:xf numFmtId="202" fontId="6" fillId="6" borderId="2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3" fontId="6" fillId="6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4" fontId="8" fillId="5" borderId="0" xfId="0" applyNumberFormat="1" applyFont="1" applyFill="1" applyBorder="1" applyAlignment="1">
      <x:alignment vertical="center"/>
    </x:xf>
    <x:xf numFmtId="0" fontId="8" fillId="5" borderId="3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/>
    </x:xf>
    <x:xf numFmtId="204" fontId="8" fillId="5" borderId="2" xfId="0" applyNumberFormat="1" applyFont="1" applyFill="1" applyBorder="1" applyAlignment="1">
      <x:alignment vertical="center"/>
    </x:xf>
    <x:xf numFmtId="0" fontId="8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03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vertical="center"/>
    </x:xf>
    <x:xf numFmtId="200" fontId="6" fillId="5" borderId="2" xfId="0" applyNumberFormat="1" applyFont="1" applyFill="1" applyBorder="1" applyAlignment="1">
      <x:alignment vertical="center"/>
    </x:xf>
    <x:xf numFmtId="202" fontId="6" fillId="5" borderId="2" xfId="0" applyNumberFormat="1" applyFont="1" applyFill="1" applyBorder="1" applyAlignment="1">
      <x:alignment vertical="center"/>
    </x:xf>
    <x:xf numFmtId="200" fontId="8" fillId="0" borderId="2" xfId="0" applyNumberFormat="1" applyFont="1" applyFill="1" applyBorder="1" applyAlignment="1">
      <x:alignment vertical="center"/>
    </x:xf>
    <x:xf numFmtId="201" fontId="6" fillId="5" borderId="2" xfId="0" applyNumberFormat="1" applyFont="1" applyFill="1" applyBorder="1" applyAlignment="1">
      <x:alignment vertical="center"/>
    </x:xf>
    <x:xf numFmtId="203" fontId="6" fillId="5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200" fontId="5" fillId="3" borderId="2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201" fontId="6" fillId="6" borderId="2" xfId="0" applyNumberFormat="1" applyFont="1" applyFill="1" applyBorder="1" applyAlignment="1">
      <x:alignment vertical="center" wrapText="1"/>
    </x:xf>
    <x:xf numFmtId="201" fontId="8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1" fontId="4" fillId="4" borderId="2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/>
    </x:xf>
    <x:xf numFmtId="0" fontId="13" fillId="3" borderId="5" xfId="0" applyNumberFormat="1" applyFont="1" applyFill="1" applyBorder="1" applyAlignment="1">
      <x:alignment vertical="center"/>
    </x:xf>
    <x:xf numFmtId="0" fontId="13" fillId="3" borderId="2" xfId="0" applyNumberFormat="1" applyFont="1" applyFill="1" applyBorder="1" applyAlignment="1">
      <x:alignment vertical="center"/>
    </x:xf>
    <x:xf numFmtId="201" fontId="13" fillId="3" borderId="2" xfId="0" applyNumberFormat="1" applyFont="1" applyFill="1" applyBorder="1" applyAlignment="1">
      <x:alignment vertical="center"/>
    </x:xf>
    <x:xf numFmtId="201" fontId="13" fillId="3" borderId="5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6" fillId="6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5" fillId="3" borderId="2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2" fontId="7" fillId="0" borderId="2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 wrapText="1"/>
    </x:xf>
    <x:xf numFmtId="202" fontId="8" fillId="0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2" fontId="7" fillId="5" borderId="0" xfId="0" applyNumberFormat="1" applyFont="1" applyFill="1" applyBorder="1" applyAlignment="1">
      <x:alignment vertical="center"/>
    </x:xf>
    <x:xf numFmtId="201" fontId="7" fillId="5" borderId="2" xfId="0" applyNumberFormat="1" applyFont="1" applyFill="1" applyBorder="1" applyAlignment="1">
      <x:alignment vertical="center"/>
    </x:xf>
    <x:xf numFmtId="202" fontId="7" fillId="5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1" fontId="7" fillId="5" borderId="2" xfId="0" applyNumberFormat="1" applyFont="1" applyFill="1" applyBorder="1" applyAlignment="1">
      <x:alignment vertical="center" wrapText="1"/>
    </x:xf>
    <x:xf numFmtId="202" fontId="7" fillId="5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horizontal="center" vertical="center"/>
    </x:xf>
    <x:xf numFmtId="0" fontId="16" fillId="7" borderId="0" xfId="0" applyNumberFormat="1" applyFont="1" applyFill="1" applyBorder="1" applyAlignment="1">
      <x:alignment vertical="center"/>
    </x:xf>
    <x:xf numFmtId="0" fontId="16" fillId="7" borderId="6" xfId="0" applyNumberFormat="1" applyFont="1" applyFill="1" applyBorder="1" applyAlignment="1">
      <x:alignment vertical="center"/>
    </x:xf>
    <x:xf numFmtId="0" fontId="16" fillId="7" borderId="7" xfId="0" applyNumberFormat="1" applyFont="1" applyFill="1" applyBorder="1" applyAlignment="1">
      <x:alignment vertical="center"/>
    </x:xf>
    <x:xf numFmtId="0" fontId="16" fillId="7" borderId="8" xfId="0" applyNumberFormat="1" applyFont="1" applyFill="1" applyBorder="1" applyAlignment="1">
      <x:alignment vertical="center"/>
    </x:xf>
    <x:xf numFmtId="0" fontId="16" fillId="7" borderId="9" xfId="0" applyNumberFormat="1" applyFont="1" applyFill="1" applyBorder="1" applyAlignment="1">
      <x:alignment vertical="center"/>
    </x:xf>
    <x:xf numFmtId="0" fontId="16" fillId="7" borderId="6" xfId="0" applyNumberFormat="1" applyFont="1" applyFill="1" applyBorder="1" applyAlignment="1">
      <x:alignment horizontal="center" vertical="center"/>
    </x:xf>
    <x:xf numFmtId="0" fontId="16" fillId="7" borderId="7" xfId="0" applyNumberFormat="1" applyFont="1" applyFill="1" applyBorder="1" applyAlignment="1">
      <x:alignment horizontal="center" vertical="center"/>
    </x:xf>
    <x:xf numFmtId="0" fontId="16" fillId="7" borderId="8" xfId="0" applyNumberFormat="1" applyFont="1" applyFill="1" applyBorder="1" applyAlignment="1">
      <x:alignment horizontal="center" vertical="center"/>
    </x:xf>
    <x:xf numFmtId="0" fontId="16" fillId="7" borderId="9" xfId="0" applyNumberFormat="1" applyFont="1" applyFill="1" applyBorder="1" applyAlignment="1">
      <x:alignment horizontal="center" vertical="center"/>
    </x:xf>
    <x:xf numFmtId="201" fontId="16" fillId="7" borderId="6" xfId="0" applyNumberFormat="1" applyFont="1" applyFill="1" applyBorder="1" applyAlignment="1">
      <x:alignment horizontal="center" vertical="center"/>
    </x:xf>
    <x:xf numFmtId="201" fontId="16" fillId="7" borderId="7" xfId="0" applyNumberFormat="1" applyFont="1" applyFill="1" applyBorder="1" applyAlignment="1">
      <x:alignment horizontal="center" vertical="center"/>
    </x:xf>
    <x:xf numFmtId="201" fontId="16" fillId="7" borderId="8" xfId="0" applyNumberFormat="1" applyFont="1" applyFill="1" applyBorder="1" applyAlignment="1">
      <x:alignment horizontal="center" vertical="center"/>
    </x:xf>
    <x:xf numFmtId="201" fontId="16" fillId="7" borderId="9" xfId="0" applyNumberFormat="1" applyFont="1" applyFill="1" applyBorder="1" applyAlignment="1">
      <x:alignment horizontal="center" vertical="center"/>
    </x:xf>
    <x:xf numFmtId="202" fontId="16" fillId="7" borderId="6" xfId="0" applyNumberFormat="1" applyFont="1" applyFill="1" applyBorder="1" applyAlignment="1">
      <x:alignment horizontal="center" vertical="center"/>
    </x:xf>
    <x:xf numFmtId="202" fontId="16" fillId="7" borderId="7" xfId="0" applyNumberFormat="1" applyFont="1" applyFill="1" applyBorder="1" applyAlignment="1">
      <x:alignment horizontal="center" vertical="center"/>
    </x:xf>
    <x:xf numFmtId="202" fontId="16" fillId="7" borderId="8" xfId="0" applyNumberFormat="1" applyFont="1" applyFill="1" applyBorder="1" applyAlignment="1">
      <x:alignment horizontal="center" vertical="center"/>
    </x:xf>
    <x:xf numFmtId="202" fontId="16" fillId="7" borderId="9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6f194d47f4295" /><Relationship Type="http://schemas.openxmlformats.org/officeDocument/2006/relationships/theme" Target="/xl/theme/theme1.xml" Id="R5fddf82152f8486a" /><Relationship Type="http://schemas.openxmlformats.org/officeDocument/2006/relationships/sharedStrings" Target="/xl/sharedStrings.xml" Id="R12f9c052447f473b" /><Relationship Type="http://schemas.openxmlformats.org/officeDocument/2006/relationships/worksheet" Target="/xl/worksheets/sheet1.xml" Id="Rc5160e4c459547bd" /><Relationship Type="http://schemas.openxmlformats.org/officeDocument/2006/relationships/worksheet" Target="/xl/worksheets/sheet2.xml" Id="R1c8cb27342ee4547" /><Relationship Type="http://schemas.openxmlformats.org/officeDocument/2006/relationships/worksheet" Target="/xl/worksheets/sheet3.xml" Id="R170765dd4094406a" /><Relationship Type="http://schemas.openxmlformats.org/officeDocument/2006/relationships/worksheet" Target="/xl/worksheets/sheet4.xml" Id="R60fc45c937b54901" /><Relationship Type="http://schemas.openxmlformats.org/officeDocument/2006/relationships/worksheet" Target="/xl/worksheets/sheet5.xml" Id="Rd906412ad5ec4bae" /><Relationship Type="http://schemas.openxmlformats.org/officeDocument/2006/relationships/worksheet" Target="/xl/worksheets/sheet6.xml" Id="Re481d4d2e04b4ec9" /><Relationship Type="http://schemas.openxmlformats.org/officeDocument/2006/relationships/worksheet" Target="/xl/worksheets/sheet7.xml" Id="R4acc70eee47a484d" /><Relationship Type="http://schemas.openxmlformats.org/officeDocument/2006/relationships/worksheet" Target="/xl/worksheets/sheet8.xml" Id="Rb346cc8c15a6480c" /><Relationship Type="http://schemas.openxmlformats.org/officeDocument/2006/relationships/worksheet" Target="/xl/worksheets/sheet9.xml" Id="Rc8e9bce222924828" /><Relationship Type="http://schemas.openxmlformats.org/officeDocument/2006/relationships/worksheet" Target="/xl/worksheets/sheet10.xml" Id="Rb0d8f6bfa3cf40cd" /><Relationship Type="http://schemas.openxmlformats.org/officeDocument/2006/relationships/worksheet" Target="/xl/worksheets/sheet11.xml" Id="Rf17a31eb42a745da" /><Relationship Type="http://schemas.openxmlformats.org/officeDocument/2006/relationships/worksheet" Target="/xl/worksheets/sheet12.xml" Id="R5302bb6202db46bf" /><Relationship Type="http://schemas.openxmlformats.org/officeDocument/2006/relationships/worksheet" Target="/xl/worksheets/sheet13.xml" Id="R449fcffbf3344f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4" t="str">
        <x:v>市场规模测算模型</x:v>
      </x:c>
      <x:c r="B1" s="4"/>
      <x:c r="C1" s="4"/>
      <x:c r="D1" s="4"/>
      <x:c r="E1" s="4"/>
      <x:c r="F1" s="4"/>
      <x:c r="G1" s="4"/>
      <x:c r="H1" s="4"/>
    </x:row>
    <x:row r="2" ht="25" customHeight="1">
      <x:c r="A2" s="7" t="str">
        <x:v>使用前复制此模板；所有外部输入必须有来源 ID，所有结论必须由可追踪公式生成。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9" t="str">
        <x:v>模型信息</x:v>
      </x:c>
      <x:c r="B4" s="9"/>
      <x:c r="C4" s="9"/>
      <x:c r="D4" s="9"/>
      <x:c r="E4" s="9"/>
      <x:c r="F4" s="9"/>
      <x:c r="G4" s="9"/>
      <x:c r="H4" s="9"/>
    </x:row>
    <x:row r="5">
      <x:c r="A5" s="12" t="str">
        <x:v>模板版本</x:v>
      </x:c>
      <x:c r="B5" s="13" t="str">
        <x:v>2.0</x:v>
      </x:c>
      <x:c r="C5" s="2"/>
      <x:c r="D5" s="2"/>
      <x:c r="E5" s="2"/>
      <x:c r="F5" s="2"/>
      <x:c r="G5" s="2"/>
      <x:c r="H5" s="2"/>
    </x:row>
    <x:row r="6">
      <x:c r="A6" s="14" t="str">
        <x:v>研究截止日</x:v>
      </x:c>
      <x:c r="B6" s="15" t="str">
        <x:v>使用时更新</x:v>
      </x:c>
      <x:c r="C6" s="2"/>
      <x:c r="D6" s="2"/>
      <x:c r="E6" s="2"/>
      <x:c r="F6" s="2"/>
      <x:c r="G6" s="2"/>
      <x:c r="H6" s="2"/>
    </x:row>
    <x:row r="7">
      <x:c r="A7" s="14" t="str">
        <x:v>默认基准年</x:v>
      </x:c>
      <x:c r="B7" s="15" t="str">
        <x:v>最近完整年度</x:v>
      </x:c>
      <x:c r="C7" s="2"/>
      <x:c r="D7" s="2"/>
      <x:c r="E7" s="2"/>
      <x:c r="F7" s="2"/>
      <x:c r="G7" s="2"/>
      <x:c r="H7" s="2"/>
    </x:row>
    <x:row r="8">
      <x:c r="A8" s="14" t="str">
        <x:v>默认币种</x:v>
      </x:c>
      <x:c r="B8" s="15" t="str">
        <x:v>USD，并保留本币</x:v>
      </x:c>
      <x:c r="C8" s="2"/>
      <x:c r="D8" s="2"/>
      <x:c r="E8" s="2"/>
      <x:c r="F8" s="2"/>
      <x:c r="G8" s="2"/>
      <x:c r="H8" s="2"/>
    </x:row>
    <x:row r="9">
      <x:c r="A9" s="14" t="str">
        <x:v>默认口径</x:v>
      </x:c>
      <x:c r="B9" s="15" t="str">
        <x:v>厂商收入；如用 GMV/支出须单列</x:v>
      </x:c>
      <x:c r="C9" s="2"/>
      <x:c r="D9" s="2"/>
      <x:c r="E9" s="2"/>
      <x:c r="F9" s="2"/>
      <x:c r="G9" s="2"/>
      <x:c r="H9" s="2"/>
    </x:row>
    <x:row r="10">
      <x:c r="A10" s="14" t="str">
        <x:v>预测期</x:v>
      </x:c>
      <x:c r="B10" s="15" t="str">
        <x:v>Year 0 + 未来 3 年</x:v>
      </x:c>
      <x:c r="C10" s="2"/>
      <x:c r="D10" s="2"/>
      <x:c r="E10" s="2"/>
      <x:c r="F10" s="2"/>
      <x:c r="G10" s="2"/>
      <x:c r="H10" s="2"/>
    </x:row>
    <x:row r="11">
      <x:c r="A11" s="14" t="str">
        <x:v>必需交付</x:v>
      </x:c>
      <x:c r="B11" s="15" t="str">
        <x:v>TAM / SAM / SOM、当前市占、三种情景、竞争与 KSF</x:v>
      </x:c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 ht="22" customHeight="1">
      <x:c r="A13" s="9" t="str">
        <x:v>颜色说明</x:v>
      </x:c>
      <x:c r="B13" s="9"/>
      <x:c r="C13" s="9"/>
      <x:c r="D13" s="9"/>
      <x:c r="E13" s="9"/>
      <x:c r="F13" s="9"/>
      <x:c r="G13" s="9"/>
      <x:c r="H13" s="9"/>
    </x:row>
    <x:row r="14">
      <x:c r="A14" s="22" t="str">
        <x:v>蓝字 / 浅蓝底</x:v>
      </x:c>
      <x:c r="B14" s="23" t="str">
        <x:v>用户可修改输入和分析假设</x:v>
      </x:c>
      <x:c r="C14" s="2"/>
      <x:c r="D14" s="2"/>
      <x:c r="E14" s="2"/>
      <x:c r="F14" s="2"/>
      <x:c r="G14" s="2"/>
      <x:c r="H14" s="2"/>
    </x:row>
    <x:row r="15">
      <x:c r="A15" s="24" t="str">
        <x:v>绿字</x:v>
      </x:c>
      <x:c r="B15" s="25" t="str">
        <x:v>跨工作表公式，不建议直接修改</x:v>
      </x:c>
      <x:c r="C15" s="2"/>
      <x:c r="D15" s="2"/>
      <x:c r="E15" s="2"/>
      <x:c r="F15" s="2"/>
      <x:c r="G15" s="2"/>
      <x:c r="H15" s="2"/>
    </x:row>
    <x:row r="16">
      <x:c r="A16" s="26" t="str">
        <x:v>黑字</x:v>
      </x:c>
      <x:c r="B16" s="25" t="str">
        <x:v>来源事实、同表公式或标签</x:v>
      </x:c>
      <x:c r="C16" s="2"/>
      <x:c r="D16" s="2"/>
      <x:c r="E16" s="2"/>
      <x:c r="F16" s="2"/>
      <x:c r="G16" s="2"/>
      <x:c r="H16" s="2"/>
    </x:row>
    <x:row r="17">
      <x:c r="A17" s="27" t="str">
        <x:v>黄底</x:v>
      </x:c>
      <x:c r="B17" s="25" t="str">
        <x:v>关键输入、尚未解决或必须确认</x:v>
      </x:c>
      <x:c r="C17" s="2"/>
      <x:c r="D17" s="2"/>
      <x:c r="E17" s="2"/>
      <x:c r="F17" s="2"/>
      <x:c r="G17" s="2"/>
      <x:c r="H17" s="2"/>
    </x:row>
    <x:row r="18">
      <x:c r="A18" s="28" t="str">
        <x:v>红色状态</x:v>
      </x:c>
      <x:c r="B18" s="25" t="str">
        <x:v>检查失败或需复核</x:v>
      </x:c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22" customHeight="1">
      <x:c r="A20" s="9" t="str">
        <x:v>工作表导航</x:v>
      </x:c>
      <x:c r="B20" s="9"/>
      <x:c r="C20" s="9"/>
      <x:c r="D20" s="9"/>
      <x:c r="E20" s="9"/>
      <x:c r="F20" s="9"/>
      <x:c r="G20" s="9"/>
      <x:c r="H20" s="9"/>
    </x:row>
    <x:row r="21">
      <x:c r="A21" s="30" t="str">
        <x:v>01_结论</x:v>
      </x:c>
      <x:c r="B21" s="13" t="str">
        <x:v>核心结论与图表</x:v>
      </x:c>
      <x:c r="C21" s="2"/>
      <x:c r="D21" s="2"/>
      <x:c r="E21" s="2"/>
      <x:c r="F21" s="2"/>
      <x:c r="G21" s="2"/>
      <x:c r="H21" s="2"/>
    </x:row>
    <x:row r="22">
      <x:c r="A22" s="31" t="str">
        <x:v>02_口径</x:v>
      </x:c>
      <x:c r="B22" s="15" t="str">
        <x:v>业务、地区、市场边界与公共假设</x:v>
      </x:c>
      <x:c r="C22" s="2"/>
      <x:c r="D22" s="2"/>
      <x:c r="E22" s="2"/>
      <x:c r="F22" s="2"/>
      <x:c r="G22" s="2"/>
      <x:c r="H22" s="2"/>
    </x:row>
    <x:row r="23">
      <x:c r="A23" s="31" t="str">
        <x:v>03_来源</x:v>
      </x:c>
      <x:c r="B23" s="15" t="str">
        <x:v>一行一个数据点的数据来源</x:v>
      </x:c>
      <x:c r="C23" s="2"/>
      <x:c r="D23" s="2"/>
      <x:c r="E23" s="2"/>
      <x:c r="F23" s="2"/>
      <x:c r="G23" s="2"/>
      <x:c r="H23" s="2"/>
    </x:row>
    <x:row r="24">
      <x:c r="A24" s="31" t="str">
        <x:v>04_结构</x:v>
      </x:c>
      <x:c r="B24" s="15" t="str">
        <x:v>需求、地区、渠道和市场模块结构</x:v>
      </x:c>
      <x:c r="C24" s="2"/>
      <x:c r="D24" s="2"/>
      <x:c r="E24" s="2"/>
      <x:c r="F24" s="2"/>
      <x:c r="G24" s="2"/>
      <x:c r="H24" s="2"/>
    </x:row>
    <x:row r="25">
      <x:c r="A25" s="31" t="str">
        <x:v>05_驱动</x:v>
      </x:c>
      <x:c r="B25" s="15" t="str">
        <x:v>宏观和经营驱动</x:v>
      </x:c>
      <x:c r="C25" s="2"/>
      <x:c r="D25" s="2"/>
      <x:c r="E25" s="2"/>
      <x:c r="F25" s="2"/>
      <x:c r="G25" s="2"/>
      <x:c r="H25" s="2"/>
    </x:row>
    <x:row r="26">
      <x:c r="A26" s="31" t="str">
        <x:v>06_用户法</x:v>
      </x:c>
      <x:c r="B26" s="15" t="str">
        <x:v>用户/需求自下而上</x:v>
      </x:c>
      <x:c r="C26" s="2"/>
      <x:c r="D26" s="2"/>
      <x:c r="E26" s="2"/>
      <x:c r="F26" s="2"/>
      <x:c r="G26" s="2"/>
      <x:c r="H26" s="2"/>
    </x:row>
    <x:row r="27">
      <x:c r="A27" s="31" t="str">
        <x:v>07_收入法</x:v>
      </x:c>
      <x:c r="B27" s="15" t="str">
        <x:v>公司、渠道和私营组件收入加总</x:v>
      </x:c>
      <x:c r="C27" s="2"/>
      <x:c r="D27" s="2"/>
      <x:c r="E27" s="2"/>
      <x:c r="F27" s="2"/>
      <x:c r="G27" s="2"/>
      <x:c r="H27" s="2"/>
    </x:row>
    <x:row r="28">
      <x:c r="A28" s="31" t="str">
        <x:v>08_公司价值链</x:v>
      </x:c>
      <x:c r="B28" s="15" t="str">
        <x:v>龙头倒推和模块拆分</x:v>
      </x:c>
      <x:c r="C28" s="2"/>
      <x:c r="D28" s="2"/>
      <x:c r="E28" s="2"/>
      <x:c r="F28" s="2"/>
      <x:c r="G28" s="2"/>
      <x:c r="H28" s="2"/>
    </x:row>
    <x:row r="29">
      <x:c r="A29" s="31" t="str">
        <x:v>09_勾稽</x:v>
      </x:c>
      <x:c r="B29" s="15" t="str">
        <x:v>多方法归一与 TAM-SAM-SOM</x:v>
      </x:c>
      <x:c r="C29" s="2"/>
      <x:c r="D29" s="2"/>
      <x:c r="E29" s="2"/>
      <x:c r="F29" s="2"/>
      <x:c r="G29" s="2"/>
      <x:c r="H29" s="2"/>
    </x:row>
    <x:row r="30">
      <x:c r="A30" s="31" t="str">
        <x:v>10_情景</x:v>
      </x:c>
      <x:c r="B30" s="15" t="str">
        <x:v>保守/中性/激进三年预测</x:v>
      </x:c>
      <x:c r="C30" s="2"/>
      <x:c r="D30" s="2"/>
      <x:c r="E30" s="2"/>
      <x:c r="F30" s="2"/>
      <x:c r="G30" s="2"/>
      <x:c r="H30" s="2"/>
    </x:row>
    <x:row r="31">
      <x:c r="A31" s="31" t="str">
        <x:v>11_竞争KSF</x:v>
      </x:c>
      <x:c r="B31" s="15" t="str">
        <x:v>竞争结构、价值归属和 KSF</x:v>
      </x:c>
      <x:c r="C31" s="2"/>
      <x:c r="D31" s="2"/>
      <x:c r="E31" s="2"/>
      <x:c r="F31" s="2"/>
      <x:c r="G31" s="2"/>
      <x:c r="H31" s="2"/>
    </x:row>
    <x:row r="32">
      <x:c r="A32" s="31" t="str">
        <x:v>12_检查</x:v>
      </x:c>
      <x:c r="B32" s="15" t="str">
        <x:v>公式、来源和逻辑检查</x:v>
      </x:c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mergeCells>
    <x:mergeCell ref="A1:H1"/>
    <x:mergeCell ref="A2:H2"/>
    <x:mergeCell ref="A4:H4"/>
    <x:mergeCell ref="A13:H13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01｜市场结论</x:v>
      </x:c>
      <x:c r="B1" s="4"/>
      <x:c r="C1" s="4"/>
      <x:c r="D1" s="4"/>
      <x:c r="E1" s="4"/>
      <x:c r="F1" s="4"/>
      <x:c r="G1" s="4"/>
      <x:c r="H1" s="4"/>
    </x:row>
    <x:row r="2" ht="25" customHeight="1">
      <x:c r="A2" s="7" t="str">
        <x:v>所有标题数字均链接到底层模型；交付前补齐定义、来源和关键风险。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137" t="str">
        <x:f>'02_口径'!B6</x:f>
        <x:v>[填写用户的业务描述]</x:v>
      </x:c>
      <x:c r="B4" s="137"/>
      <x:c r="C4" s="137"/>
      <x:c r="D4" s="137"/>
      <x:c r="E4" s="137"/>
      <x:c r="F4" s="137"/>
      <x:c r="G4" s="137"/>
      <x:c r="H4" s="137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139" t="str">
        <x:v>TAM</x:v>
      </x:c>
      <x:c r="B6" s="139" t="str">
        <x:v>TAM</x:v>
      </x:c>
      <x:c r="C6" s="139" t="str">
        <x:v>SAM</x:v>
      </x:c>
      <x:c r="D6" s="139" t="str">
        <x:v>SAM</x:v>
      </x:c>
      <x:c r="E6" s="139" t="str">
        <x:v>当前收入市占</x:v>
      </x:c>
      <x:c r="F6" s="139" t="str">
        <x:v>当前收入市占</x:v>
      </x:c>
      <x:c r="G6" s="139" t="str">
        <x:v>Year 3 中性市场</x:v>
      </x:c>
      <x:c r="H6" s="139" t="str">
        <x:v>Year 3 中性市场</x:v>
      </x:c>
    </x:row>
    <x:row r="7">
      <x:c r="A7" s="149" t="n">
        <x:f>'09_勾稽'!B15</x:f>
        <x:v>0</x:v>
      </x:c>
      <x:c r="B7" s="150"/>
      <x:c r="C7" s="149" t="n">
        <x:f>'09_勾稽'!B21</x:f>
        <x:v>0</x:v>
      </x:c>
      <x:c r="D7" s="150"/>
      <x:c r="E7" s="153" t="n">
        <x:f>'09_勾稽'!B23</x:f>
        <x:v>0</x:v>
      </x:c>
      <x:c r="F7" s="154"/>
      <x:c r="G7" s="149" t="n">
        <x:f>'10_情景'!E22</x:f>
        <x:v>0</x:v>
      </x:c>
      <x:c r="H7" s="150"/>
    </x:row>
    <x:row r="8">
      <x:c r="A8" s="151"/>
      <x:c r="B8" s="152"/>
      <x:c r="C8" s="151"/>
      <x:c r="D8" s="152"/>
      <x:c r="E8" s="155"/>
      <x:c r="F8" s="156"/>
      <x:c r="G8" s="151"/>
      <x:c r="H8" s="152"/>
    </x:row>
    <x:row r="9">
      <x:c r="A9" s="2"/>
      <x:c r="B9" s="2"/>
      <x:c r="C9" s="2"/>
      <x:c r="D9" s="2"/>
      <x:c r="E9" s="2"/>
      <x:c r="F9" s="2"/>
      <x:c r="G9" s="2"/>
      <x:c r="H9" s="2"/>
    </x:row>
    <x:row r="10" ht="22" customHeight="1">
      <x:c r="A10" s="9" t="str">
        <x:v>多方法结果</x:v>
      </x:c>
      <x:c r="B10" s="9"/>
      <x:c r="C10" s="9"/>
      <x:c r="D10" s="9"/>
      <x:c r="E10" s="9" t="str">
        <x:v>三年情景</x:v>
      </x:c>
      <x:c r="F10" s="9"/>
      <x:c r="G10" s="9"/>
      <x:c r="H10" s="9"/>
    </x:row>
    <x:row r="11" ht="30" customHeight="1">
      <x:c r="A11" s="39" t="str">
        <x:v>方法</x:v>
      </x:c>
      <x:c r="B11" s="40" t="str">
        <x:v>Point（最可能值）</x:v>
      </x:c>
      <x:c r="C11" s="40" t="str">
        <x:v>Low（保守边界）</x:v>
      </x:c>
      <x:c r="D11" s="40" t="str">
        <x:v>High（乐观边界）</x:v>
      </x:c>
      <x:c r="E11" s="39" t="str">
        <x:v>情景</x:v>
      </x:c>
      <x:c r="F11" s="40" t="str">
        <x:v>Year 0</x:v>
      </x:c>
      <x:c r="G11" s="40" t="str">
        <x:v>Year 1</x:v>
      </x:c>
      <x:c r="H11" s="40" t="str">
        <x:v>Year 3</x:v>
      </x:c>
    </x:row>
    <x:row r="12">
      <x:c r="A12" s="157" t="str">
        <x:f>'09_勾稽'!A6</x:f>
        <x:v>用户 / 需求法</x:v>
      </x:c>
      <x:c r="B12" s="51" t="n">
        <x:f>'09_勾稽'!B6</x:f>
        <x:v>0</x:v>
      </x:c>
      <x:c r="C12" s="51" t="n">
        <x:f>'09_勾稽'!C6</x:f>
        <x:v>0</x:v>
      </x:c>
      <x:c r="D12" s="51" t="n">
        <x:f>'09_勾稽'!D6</x:f>
        <x:v>0</x:v>
      </x:c>
      <x:c r="E12" s="56" t="str">
        <x:v>保守</x:v>
      </x:c>
      <x:c r="F12" s="51" t="n">
        <x:f>'10_情景'!B10</x:f>
        <x:v>0</x:v>
      </x:c>
      <x:c r="G12" s="51" t="n">
        <x:f>'10_情景'!C10</x:f>
        <x:v>0</x:v>
      </x:c>
      <x:c r="H12" s="51" t="n">
        <x:f>'10_情景'!E10</x:f>
        <x:v>0</x:v>
      </x:c>
    </x:row>
    <x:row r="13">
      <x:c r="A13" s="157" t="str">
        <x:f>'09_勾稽'!A7</x:f>
        <x:v>收入加总</x:v>
      </x:c>
      <x:c r="B13" s="51" t="n">
        <x:f>'09_勾稽'!B7</x:f>
        <x:v>0</x:v>
      </x:c>
      <x:c r="C13" s="51" t="n">
        <x:f>'09_勾稽'!C7</x:f>
        <x:v>0</x:v>
      </x:c>
      <x:c r="D13" s="51" t="n">
        <x:f>'09_勾稽'!D7</x:f>
        <x:v>0</x:v>
      </x:c>
      <x:c r="E13" s="56" t="str">
        <x:v>中性</x:v>
      </x:c>
      <x:c r="F13" s="51" t="n">
        <x:f>'10_情景'!B22</x:f>
        <x:v>0</x:v>
      </x:c>
      <x:c r="G13" s="51" t="n">
        <x:f>'10_情景'!C22</x:f>
        <x:v>0</x:v>
      </x:c>
      <x:c r="H13" s="51" t="n">
        <x:f>'10_情景'!E22</x:f>
        <x:v>0</x:v>
      </x:c>
    </x:row>
    <x:row r="14">
      <x:c r="A14" s="157" t="str">
        <x:f>'09_勾稽'!A8</x:f>
        <x:v>龙头市占倒推</x:v>
      </x:c>
      <x:c r="B14" s="51" t="n">
        <x:f>'09_勾稽'!B8</x:f>
        <x:v>0</x:v>
      </x:c>
      <x:c r="C14" s="51" t="n">
        <x:f>'09_勾稽'!C8</x:f>
        <x:v>0</x:v>
      </x:c>
      <x:c r="D14" s="51" t="n">
        <x:f>'09_勾稽'!D8</x:f>
        <x:v>0</x:v>
      </x:c>
      <x:c r="E14" s="56" t="str">
        <x:v>激进</x:v>
      </x:c>
      <x:c r="F14" s="51" t="n">
        <x:f>'10_情景'!B34</x:f>
        <x:v>0</x:v>
      </x:c>
      <x:c r="G14" s="51" t="n">
        <x:f>'10_情景'!C34</x:f>
        <x:v>0</x:v>
      </x:c>
      <x:c r="H14" s="51" t="n">
        <x:f>'10_情景'!E34</x:f>
        <x:v>0</x:v>
      </x:c>
    </x:row>
    <x:row r="15">
      <x:c r="A15" s="157" t="str">
        <x:f>'09_勾稽'!A9</x:f>
        <x:v>模块拆分</x:v>
      </x:c>
      <x:c r="B15" s="51" t="n">
        <x:f>'09_勾稽'!B9</x:f>
        <x:v>0</x:v>
      </x:c>
      <x:c r="C15" s="51" t="n">
        <x:f>'09_勾稽'!C9</x:f>
        <x:v>0</x:v>
      </x:c>
      <x:c r="D15" s="51" t="n">
        <x:f>'09_勾稽'!D9</x:f>
        <x:v>0</x:v>
      </x:c>
      <x:c r="E15" s="2"/>
      <x:c r="F15" s="2"/>
      <x:c r="G15" s="2"/>
      <x:c r="H15" s="2"/>
    </x:row>
    <x:row r="16">
      <x:c r="A16" s="157" t="str">
        <x:f>'09_勾稽'!A10</x:f>
        <x:v>外部报告范围</x:v>
      </x:c>
      <x:c r="B16" s="51" t="n">
        <x:f>'09_勾稽'!B10</x:f>
        <x:v>0</x:v>
      </x:c>
      <x:c r="C16" s="51" t="n">
        <x:f>'09_勾稽'!C10</x:f>
        <x:v>0</x:v>
      </x:c>
      <x:c r="D16" s="51" t="n">
        <x:f>'09_勾稽'!D10</x:f>
        <x:v>0</x:v>
      </x:c>
      <x:c r="E16" s="2"/>
      <x:c r="F16" s="2"/>
      <x:c r="G16" s="2"/>
      <x:c r="H16" s="2"/>
    </x:row>
    <x:row r="17">
      <x:c r="A17" s="91" t="str">
        <x:v>Point = 当前信息下最可能的单点估计；Low / High = 根据关键假设和来源不确定性形成的保守/乐观模型边界，不是统计意义上的置信区间。最终 TAM 用各方法权重加总。</x:v>
      </x:c>
      <x:c r="B17" s="91"/>
      <x:c r="C17" s="91"/>
      <x:c r="D17" s="91"/>
      <x:c r="E17" s="91"/>
      <x:c r="F17" s="91"/>
      <x:c r="G17" s="91"/>
      <x:c r="H17" s="91"/>
    </x:row>
    <x:row r="18" ht="22" customHeight="1">
      <x:c r="A18" s="9" t="str">
        <x:v>结构、竞争、增速与关键判断</x:v>
      </x:c>
      <x:c r="B18" s="9"/>
      <x:c r="C18" s="9"/>
      <x:c r="D18" s="9"/>
      <x:c r="E18" s="9"/>
      <x:c r="F18" s="9"/>
      <x:c r="G18" s="9"/>
      <x:c r="H18" s="9"/>
    </x:row>
    <x:row r="19">
      <x:c r="A19" s="10" t="str">
        <x:v>市场结构</x:v>
      </x:c>
      <x:c r="B19" s="10"/>
      <x:c r="C19" s="120" t="str">
        <x:v>[研究后填写，并标注来源 IDs / 分析判断]</x:v>
      </x:c>
      <x:c r="D19" s="120"/>
      <x:c r="E19" s="120"/>
      <x:c r="F19" s="120"/>
      <x:c r="G19" s="120"/>
      <x:c r="H19" s="120"/>
    </x:row>
    <x:row r="20">
      <x:c r="A20" s="10" t="str">
        <x:v>需求与结构变化</x:v>
      </x:c>
      <x:c r="B20" s="10"/>
      <x:c r="C20" s="120" t="str">
        <x:v>[研究后填写，并标注来源 IDs / 分析判断]</x:v>
      </x:c>
      <x:c r="D20" s="120"/>
      <x:c r="E20" s="120"/>
      <x:c r="F20" s="120"/>
      <x:c r="G20" s="120"/>
      <x:c r="H20" s="120"/>
    </x:row>
    <x:row r="21">
      <x:c r="A21" s="10" t="str">
        <x:v>竞争与价值归属</x:v>
      </x:c>
      <x:c r="B21" s="10"/>
      <x:c r="C21" s="120" t="str">
        <x:v>[研究后填写，并标注来源 IDs / 分析判断]</x:v>
      </x:c>
      <x:c r="D21" s="120"/>
      <x:c r="E21" s="120"/>
      <x:c r="F21" s="120"/>
      <x:c r="G21" s="120"/>
      <x:c r="H21" s="120"/>
    </x:row>
    <x:row r="22">
      <x:c r="A22" s="10" t="str">
        <x:v>增长驱动与约束</x:v>
      </x:c>
      <x:c r="B22" s="10"/>
      <x:c r="C22" s="120" t="str">
        <x:v>[研究后填写，并标注来源 IDs / 分析判断]</x:v>
      </x:c>
      <x:c r="D22" s="120"/>
      <x:c r="E22" s="120"/>
      <x:c r="F22" s="120"/>
      <x:c r="G22" s="120"/>
      <x:c r="H22" s="120"/>
    </x:row>
    <x:row r="23">
      <x:c r="A23" s="10" t="str">
        <x:v>关键成功因素</x:v>
      </x:c>
      <x:c r="B23" s="10"/>
      <x:c r="C23" s="120" t="str">
        <x:v>[研究后填写，并标注来源 IDs / 分析判断]</x:v>
      </x:c>
      <x:c r="D23" s="120"/>
      <x:c r="E23" s="120"/>
      <x:c r="F23" s="120"/>
      <x:c r="G23" s="120"/>
      <x:c r="H23" s="120"/>
    </x:row>
    <x:row r="24">
      <x:c r="A24" s="10" t="str">
        <x:v>最重要的不确定性</x:v>
      </x:c>
      <x:c r="B24" s="10"/>
      <x:c r="C24" s="120" t="str">
        <x:v>[研究后填写，并标注来源 IDs / 分析判断]</x:v>
      </x:c>
      <x:c r="D24" s="120"/>
      <x:c r="E24" s="120"/>
      <x:c r="F24" s="120"/>
      <x:c r="G24" s="120"/>
      <x:c r="H24" s="120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159" t="str">
        <x:v>重要限制：模板中的情景参数仅为演示占位值，必须用当期研究替换；任何低置信度或口径不匹配的数据都应进入限制说明。</x:v>
      </x:c>
      <x:c r="B26" s="159"/>
      <x:c r="C26" s="159"/>
      <x:c r="D26" s="159"/>
      <x:c r="E26" s="159"/>
      <x:c r="F26" s="159"/>
      <x:c r="G26" s="159"/>
      <x:c r="H26" s="159"/>
    </x:row>
    <x:row r="27">
      <x:c r="A27" s="159"/>
      <x:c r="B27" s="159"/>
      <x:c r="C27" s="159"/>
      <x:c r="D27" s="159"/>
      <x:c r="E27" s="159"/>
      <x:c r="F27" s="159"/>
      <x:c r="G27" s="159"/>
      <x:c r="H27" s="159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A1:H1"/>
    <x:mergeCell ref="A2:H2"/>
    <x:mergeCell ref="A4:H4"/>
    <x:mergeCell ref="A6:B6"/>
    <x:mergeCell ref="A7:B8"/>
    <x:mergeCell ref="C6:D6"/>
    <x:mergeCell ref="C7:D8"/>
    <x:mergeCell ref="E6:F6"/>
    <x:mergeCell ref="E7:F8"/>
    <x:mergeCell ref="G6:H6"/>
    <x:mergeCell ref="G7:H8"/>
    <x:mergeCell ref="A10:D10"/>
    <x:mergeCell ref="E10:H10"/>
    <x:mergeCell ref="A17:H17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6:H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22" hidden="0" customWidth="1"/>
    <x:col min="4" max="4" width="54" hidden="0" customWidth="1"/>
    <x:col min="5" max="5" width="12" hidden="0" customWidth="1"/>
    <x:col min="6" max="6" width="12" hidden="0" customWidth="1"/>
  </x:cols>
  <x:sheetData>
    <x:row r="1" ht="34" customHeight="1">
      <x:c r="A1" s="4" t="str">
        <x:v>02｜口径与用户输入</x:v>
      </x:c>
      <x:c r="B1" s="4"/>
      <x:c r="C1" s="4"/>
      <x:c r="D1" s="4"/>
      <x:c r="E1" s="4"/>
      <x:c r="F1" s="4"/>
    </x:row>
    <x:row r="2" ht="25" customHeight="1">
      <x:c r="A2" s="7" t="str">
        <x:v>只需要业务描述和当前用户或收入；其余字段由研究推断并标记。</x:v>
      </x:c>
      <x:c r="B2" s="7"/>
      <x:c r="C2" s="7"/>
      <x:c r="D2" s="7"/>
      <x:c r="E2" s="7"/>
      <x:c r="F2" s="7"/>
    </x:row>
    <x:row r="3">
      <x:c r="A3" s="2"/>
      <x:c r="B3" s="2"/>
      <x:c r="C3" s="2"/>
      <x:c r="D3" s="2"/>
      <x:c r="E3" s="2"/>
      <x:c r="F3" s="2"/>
    </x:row>
    <x:row r="4" ht="22" customHeight="1">
      <x:c r="A4" s="9" t="str">
        <x:v>市场定义</x:v>
      </x:c>
      <x:c r="B4" s="9"/>
      <x:c r="C4" s="9"/>
      <x:c r="D4" s="9"/>
      <x:c r="E4" s="9"/>
      <x:c r="F4" s="9"/>
    </x:row>
    <x:row r="5" ht="30" customHeight="1">
      <x:c r="A5" s="39" t="str">
        <x:v>字段</x:v>
      </x:c>
      <x:c r="B5" s="40" t="str">
        <x:v>值</x:v>
      </x:c>
      <x:c r="C5" s="40" t="str">
        <x:v>来源 ID / 类型</x:v>
      </x:c>
      <x:c r="D5" s="41" t="str">
        <x:v>备注与替代解释</x:v>
      </x:c>
      <x:c r="E5" s="2"/>
      <x:c r="F5" s="2"/>
    </x:row>
    <x:row r="6">
      <x:c r="A6" s="23" t="str">
        <x:v>业务描述</x:v>
      </x:c>
      <x:c r="B6" s="43" t="str">
        <x:v>[填写用户的业务描述]</x:v>
      </x:c>
      <x:c r="C6" s="23"/>
      <x:c r="D6" s="23"/>
      <x:c r="E6" s="2"/>
      <x:c r="F6" s="2"/>
    </x:row>
    <x:row r="7">
      <x:c r="A7" s="25" t="str">
        <x:v>产品 / 产出单位</x:v>
      </x:c>
      <x:c r="B7" s="44" t="str">
        <x:v>[研究推断]</x:v>
      </x:c>
      <x:c r="C7" s="25"/>
      <x:c r="D7" s="25"/>
      <x:c r="E7" s="2"/>
      <x:c r="F7" s="2"/>
    </x:row>
    <x:row r="8">
      <x:c r="A8" s="25" t="str">
        <x:v>客户与最终用户</x:v>
      </x:c>
      <x:c r="B8" s="44" t="str">
        <x:v>[研究推断]</x:v>
      </x:c>
      <x:c r="C8" s="25"/>
      <x:c r="D8" s="25"/>
      <x:c r="E8" s="2"/>
      <x:c r="F8" s="2"/>
    </x:row>
    <x:row r="9">
      <x:c r="A9" s="25" t="str">
        <x:v>核心 Job-to-be-done</x:v>
      </x:c>
      <x:c r="B9" s="44" t="str">
        <x:v>[研究推断]</x:v>
      </x:c>
      <x:c r="C9" s="25"/>
      <x:c r="D9" s="25"/>
      <x:c r="E9" s="2"/>
      <x:c r="F9" s="2"/>
    </x:row>
    <x:row r="10">
      <x:c r="A10" s="25" t="str">
        <x:v>变现方式</x:v>
      </x:c>
      <x:c r="B10" s="44" t="str">
        <x:v>[研究推断]</x:v>
      </x:c>
      <x:c r="C10" s="25"/>
      <x:c r="D10" s="25"/>
      <x:c r="E10" s="2"/>
      <x:c r="F10" s="2"/>
    </x:row>
    <x:row r="11">
      <x:c r="A11" s="25" t="str">
        <x:v>核心地区</x:v>
      </x:c>
      <x:c r="B11" s="44" t="str">
        <x:v>[研究推断]</x:v>
      </x:c>
      <x:c r="C11" s="25"/>
      <x:c r="D11" s="25"/>
      <x:c r="E11" s="2"/>
      <x:c r="F11" s="2"/>
    </x:row>
    <x:row r="12">
      <x:c r="A12" s="25" t="str">
        <x:v>币种 / 单位</x:v>
      </x:c>
      <x:c r="B12" s="44" t="str">
        <x:v>USD，名义值</x:v>
      </x:c>
      <x:c r="C12" s="25"/>
      <x:c r="D12" s="25"/>
      <x:c r="E12" s="2"/>
      <x:c r="F12" s="2"/>
    </x:row>
    <x:row r="13">
      <x:c r="A13" s="25" t="str">
        <x:v>基准年</x:v>
      </x:c>
      <x:c r="B13" s="44" t="str">
        <x:v>[最近完整年度]</x:v>
      </x:c>
      <x:c r="C13" s="25"/>
      <x:c r="D13" s="25"/>
      <x:c r="E13" s="2"/>
      <x:c r="F13" s="2"/>
    </x:row>
    <x:row r="14">
      <x:c r="A14" s="25" t="str">
        <x:v>市场包含</x:v>
      </x:c>
      <x:c r="B14" s="44" t="str">
        <x:v>[研究后填写]</x:v>
      </x:c>
      <x:c r="C14" s="25"/>
      <x:c r="D14" s="25"/>
      <x:c r="E14" s="2"/>
      <x:c r="F14" s="2"/>
    </x:row>
    <x:row r="15">
      <x:c r="A15" s="25" t="str">
        <x:v>市场排除</x:v>
      </x:c>
      <x:c r="B15" s="44" t="str">
        <x:v>[研究后填写]</x:v>
      </x:c>
      <x:c r="C15" s="25"/>
      <x:c r="D15" s="25"/>
      <x:c r="E15" s="2"/>
      <x:c r="F15" s="2"/>
    </x:row>
    <x:row r="16">
      <x:c r="A16" s="25" t="str">
        <x:v>新增 / 替代 / 混合</x:v>
      </x:c>
      <x:c r="B16" s="44" t="str">
        <x:v>[研究判断]</x:v>
      </x:c>
      <x:c r="C16" s="25"/>
      <x:c r="D16" s="25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 ht="22" customHeight="1">
      <x:c r="A18" s="9" t="str">
        <x:v>用户当前规模与可服务范围</x:v>
      </x:c>
      <x:c r="B18" s="9"/>
      <x:c r="C18" s="9"/>
      <x:c r="D18" s="9"/>
      <x:c r="E18" s="9"/>
      <x:c r="F18" s="9"/>
    </x:row>
    <x:row r="19" ht="30" customHeight="1">
      <x:c r="A19" s="39" t="str">
        <x:v>字段</x:v>
      </x:c>
      <x:c r="B19" s="40" t="str">
        <x:v>值</x:v>
      </x:c>
      <x:c r="C19" s="40" t="str">
        <x:v>来源 ID / 类型</x:v>
      </x:c>
      <x:c r="D19" s="41" t="str">
        <x:v>备注</x:v>
      </x:c>
      <x:c r="E19" s="2"/>
      <x:c r="F19" s="2"/>
    </x:row>
    <x:row r="20">
      <x:c r="A20" s="23" t="str">
        <x:v>当前活跃用户</x:v>
      </x:c>
      <x:c r="B20" s="50" t="n">
        <x:f>'03_来源'!C6</x:f>
        <x:v>0</x:v>
      </x:c>
      <x:c r="C20" s="23" t="str">
        <x:v>用户输入链接</x:v>
      </x:c>
      <x:c r="D20" s="23"/>
      <x:c r="E20" s="2"/>
      <x:c r="F20" s="2"/>
    </x:row>
    <x:row r="21">
      <x:c r="A21" s="25" t="str">
        <x:v>活跃用户周期定义</x:v>
      </x:c>
      <x:c r="B21" s="24" t="str">
        <x:v>MAU / WAU / DAU / 客户数</x:v>
      </x:c>
      <x:c r="C21" s="25" t="str">
        <x:v>用户输入说明</x:v>
      </x:c>
      <x:c r="D21" s="25"/>
      <x:c r="E21" s="2"/>
      <x:c r="F21" s="2"/>
    </x:row>
    <x:row r="22">
      <x:c r="A22" s="25" t="str">
        <x:v>当前年化收入</x:v>
      </x:c>
      <x:c r="B22" s="51" t="n">
        <x:f>'03_来源'!C5</x:f>
        <x:v>0</x:v>
      </x:c>
      <x:c r="C22" s="25" t="str">
        <x:v>用户输入链接</x:v>
      </x:c>
      <x:c r="D22" s="25"/>
      <x:c r="E22" s="2"/>
      <x:c r="F22" s="2"/>
    </x:row>
    <x:row r="23">
      <x:c r="A23" s="25" t="str">
        <x:v>收入期间 / 年化方式</x:v>
      </x:c>
      <x:c r="B23" s="51" t="str">
        <x:v>年度 / LTM / 年化</x:v>
      </x:c>
      <x:c r="C23" s="25" t="str">
        <x:v>用户输入说明</x:v>
      </x:c>
      <x:c r="D23" s="25"/>
      <x:c r="E23" s="2"/>
      <x:c r="F23" s="2"/>
    </x:row>
    <x:row r="24">
      <x:c r="A24" s="25" t="str">
        <x:v>估计付费率</x:v>
      </x:c>
      <x:c r="B24" s="52" t="n">
        <x:v>0</x:v>
      </x:c>
      <x:c r="C24" s="25" t="str">
        <x:v>可修改分析假设</x:v>
      </x:c>
      <x:c r="D24" s="25"/>
      <x:c r="E24" s="2"/>
      <x:c r="F24" s="2"/>
    </x:row>
    <x:row r="25">
      <x:c r="A25" s="25" t="str">
        <x:v>估计年 ARPPU</x:v>
      </x:c>
      <x:c r="B25" s="53" t="n">
        <x:f>IFERROR(B22/(B20*B24),0)</x:f>
        <x:v>0</x:v>
      </x:c>
      <x:c r="C25" s="25" t="str">
        <x:v>反推公式</x:v>
      </x:c>
      <x:c r="D25" s="25"/>
      <x:c r="E25" s="2"/>
      <x:c r="F25" s="2"/>
    </x:row>
    <x:row r="26">
      <x:c r="A26" s="25" t="str">
        <x:v>可比年化收入</x:v>
      </x:c>
      <x:c r="B26" s="53" t="n">
        <x:f>IF(B22&gt;0,B22,IF(AND(B20&gt;0,B24&gt;0,B25&gt;0),B20*B24*B25,0))</x:f>
        <x:v>0</x:v>
      </x:c>
      <x:c r="C26" s="25" t="str">
        <x:v>计算公式</x:v>
      </x:c>
      <x:c r="D26" s="25"/>
      <x:c r="E26" s="2"/>
      <x:c r="F26" s="2"/>
    </x:row>
    <x:row r="27">
      <x:c r="A27" s="25" t="str">
        <x:v>可服务地区比例</x:v>
      </x:c>
      <x:c r="B27" s="52" t="n">
        <x:v>1</x:v>
      </x:c>
      <x:c r="C27" s="25" t="str">
        <x:v>可修改分析假设</x:v>
      </x:c>
      <x:c r="D27" s="25"/>
      <x:c r="E27" s="2"/>
      <x:c r="F27" s="2"/>
    </x:row>
    <x:row r="28">
      <x:c r="A28" s="25" t="str">
        <x:v>可服务品类比例</x:v>
      </x:c>
      <x:c r="B28" s="52" t="n">
        <x:v>1</x:v>
      </x:c>
      <x:c r="C28" s="25" t="str">
        <x:v>可修改分析假设</x:v>
      </x:c>
      <x:c r="D28" s="25"/>
      <x:c r="E28" s="2"/>
      <x:c r="F28" s="2"/>
    </x:row>
    <x:row r="29">
      <x:c r="A29" s="25" t="str">
        <x:v>可触达渠道 / 客户比例</x:v>
      </x:c>
      <x:c r="B29" s="52" t="n">
        <x:v>1</x:v>
      </x:c>
      <x:c r="C29" s="25" t="str">
        <x:v>可修改分析假设</x:v>
      </x:c>
      <x:c r="D29" s="25"/>
      <x:c r="E29" s="2"/>
      <x:c r="F29" s="2"/>
    </x:row>
    <x:row r="30">
      <x:c r="A30" s="25" t="str">
        <x:v>当前产品可服务用户数</x:v>
      </x:c>
      <x:c r="B30" s="54" t="n">
        <x:f>'06_用户法'!D27</x:f>
        <x:v>0</x:v>
      </x:c>
      <x:c r="C30" s="25" t="str">
        <x:v>跨表公式</x:v>
      </x:c>
      <x:c r="D30" s="25"/>
      <x:c r="E30" s="2"/>
      <x:c r="F30" s="2"/>
    </x:row>
    <x:row r="31">
      <x:c r="A31" s="25" t="str">
        <x:v>研究截止日</x:v>
      </x:c>
      <x:c r="B31" s="44" t="str">
        <x:v>使用时更新</x:v>
      </x:c>
      <x:c r="C31" s="25" t="str">
        <x:v>系统/输入</x:v>
      </x:c>
      <x:c r="D31" s="25"/>
      <x:c r="E31" s="2"/>
      <x:c r="F31" s="2"/>
    </x:row>
    <x:row r="32">
      <x:c r="A32" s="25" t="str">
        <x:v>关键口径风险</x:v>
      </x:c>
      <x:c r="B32" s="44" t="str">
        <x:v>[研究后填写]</x:v>
      </x:c>
      <x:c r="C32" s="25" t="str">
        <x:v>分析判断</x:v>
      </x:c>
      <x:c r="D32" s="25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 ht="22" customHeight="1">
      <x:c r="A34" s="9" t="str">
        <x:v>模型公共假设</x:v>
      </x:c>
      <x:c r="B34" s="9"/>
      <x:c r="C34" s="9"/>
      <x:c r="D34" s="9"/>
      <x:c r="E34" s="9"/>
      <x:c r="F34" s="9"/>
    </x:row>
    <x:row r="35" ht="30" customHeight="1">
      <x:c r="A35" s="39" t="str">
        <x:v>假设 / 输出</x:v>
      </x:c>
      <x:c r="B35" s="40" t="str">
        <x:v>数值</x:v>
      </x:c>
      <x:c r="C35" s="40" t="str">
        <x:v>单位</x:v>
      </x:c>
      <x:c r="D35" s="40" t="str">
        <x:v>定义与估计依据</x:v>
      </x:c>
      <x:c r="E35" s="2"/>
      <x:c r="F35" s="2"/>
    </x:row>
    <x:row r="36">
      <x:c r="A36" s="56" t="str">
        <x:v>基准年换算系数</x:v>
      </x:c>
      <x:c r="B36" s="57" t="n">
        <x:v>1</x:v>
      </x:c>
      <x:c r="C36" s="25" t="str">
        <x:v>x</x:v>
      </x:c>
      <x:c r="D36" s="25" t="str">
        <x:v>把旧年份、部分期间或 run-rate 统一到模型基准年</x:v>
      </x:c>
      <x:c r="E36" s="2"/>
      <x:c r="F36" s="2"/>
    </x:row>
    <x:row r="37">
      <x:c r="A37" s="56" t="str">
        <x:v>本币 / 美元</x:v>
      </x:c>
      <x:c r="B37" s="57" t="n">
        <x:v>1</x:v>
      </x:c>
      <x:c r="C37" s="25" t="str">
        <x:v>LCY/USD</x:v>
      </x:c>
      <x:c r="D37" s="25" t="str">
        <x:v>收入流通常使用期间平均汇率</x:v>
      </x:c>
      <x:c r="E37" s="2"/>
      <x:c r="F37" s="2"/>
    </x:row>
    <x:row r="38">
      <x:c r="A38" s="56" t="str">
        <x:v>用户去重调整</x:v>
      </x:c>
      <x:c r="B38" s="57" t="n">
        <x:v>1</x:v>
      </x:c>
      <x:c r="C38" s="25" t="str">
        <x:v>x</x:v>
      </x:c>
      <x:c r="D38" s="25" t="str">
        <x:v>跨产品或跨平台用户可能重复</x:v>
      </x:c>
      <x:c r="E38" s="2"/>
      <x:c r="F38" s="2"/>
    </x:row>
    <x:row r="39">
      <x:c r="A39" s="56" t="str">
        <x:v>其他公共假设</x:v>
      </x:c>
      <x:c r="B39" s="44" t="n">
        <x:v>0</x:v>
      </x:c>
      <x:c r="C39" s="25" t="str">
        <x:v>[单位]</x:v>
      </x:c>
      <x:c r="D39" s="25" t="str">
        <x:v>写明锚点、因果和替代解释</x:v>
      </x:c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mergeCells>
    <x:mergeCell ref="A1:F1"/>
    <x:mergeCell ref="A2:F2"/>
    <x:mergeCell ref="A4:F4"/>
    <x:mergeCell ref="A18:F18"/>
    <x:mergeCell ref="A34:F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22" hidden="0" customWidth="1"/>
    <x:col min="9" max="9" width="34" hidden="0" customWidth="1"/>
    <x:col min="10" max="10" width="52" hidden="0" customWidth="1"/>
    <x:col min="11" max="11" width="14" hidden="0" customWidth="1"/>
    <x:col min="12" max="12" width="10" hidden="0" customWidth="1"/>
    <x:col min="13" max="13" width="12" hidden="0" customWidth="1"/>
    <x:col min="14" max="14" width="14" hidden="0" customWidth="1"/>
    <x:col min="15" max="15" width="22" hidden="0" customWidth="1"/>
    <x:col min="16" max="16" width="50" hidden="0" customWidth="1"/>
  </x:cols>
  <x:sheetData>
    <x:row r="1" ht="34" customHeight="1">
      <x:c r="A1" s="4" t="str">
        <x:v>03｜数据来源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7" t="str">
        <x:v>每行只放一个可直接引用的数据点；分析假设和计算不得混入来源表。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30" customHeight="1">
      <x:c r="A4" s="39" t="str">
        <x:v>Source ID</x:v>
      </x:c>
      <x:c r="B4" s="40" t="str">
        <x:v>指标</x:v>
      </x:c>
      <x:c r="C4" s="40" t="str">
        <x:v>数值</x:v>
      </x:c>
      <x:c r="D4" s="40" t="str">
        <x:v>单位</x:v>
      </x:c>
      <x:c r="E4" s="40" t="str">
        <x:v>期间</x:v>
      </x:c>
      <x:c r="F4" s="40" t="str">
        <x:v>地区</x:v>
      </x:c>
      <x:c r="G4" s="40" t="str">
        <x:v>来源类型</x:v>
      </x:c>
      <x:c r="H4" s="40" t="str">
        <x:v>发布者 / 公司</x:v>
      </x:c>
      <x:c r="I4" s="40" t="str">
        <x:v>文档 / 表格</x:v>
      </x:c>
      <x:c r="J4" s="40" t="str">
        <x:v>完整 URL</x:v>
      </x:c>
      <x:c r="K4" s="40" t="str">
        <x:v>获取日期</x:v>
      </x:c>
      <x:c r="L4" s="40" t="str">
        <x:v>一手?</x:v>
      </x:c>
      <x:c r="M4" s="40" t="str">
        <x:v>可信度</x:v>
      </x:c>
      <x:c r="N4" s="40" t="str">
        <x:v>事实类型</x:v>
      </x:c>
      <x:c r="O4" s="40" t="str">
        <x:v>使用位置</x:v>
      </x:c>
      <x:c r="P4" s="40" t="str">
        <x:v>说明 / 页码 / 方法限制</x:v>
      </x:c>
    </x:row>
    <x:row r="5">
      <x:c r="A5" s="61" t="str">
        <x:v>SUSER-R</x:v>
      </x:c>
      <x:c r="B5" s="64" t="str">
        <x:v>用户当前年化收入</x:v>
      </x:c>
      <x:c r="C5" s="44" t="n">
        <x:v>0</x:v>
      </x:c>
      <x:c r="D5" s="62" t="str">
        <x:v>USD mm</x:v>
      </x:c>
      <x:c r="E5" s="62" t="str">
        <x:v>current run-rate</x:v>
      </x:c>
      <x:c r="F5" s="62" t="str">
        <x:v>[地区]</x:v>
      </x:c>
      <x:c r="G5" s="62" t="str">
        <x:v>user-input</x:v>
      </x:c>
      <x:c r="H5" s="64" t="str">
        <x:v>User</x:v>
      </x:c>
      <x:c r="I5" s="64" t="str">
        <x:v>User-provided input</x:v>
      </x:c>
      <x:c r="J5" s="64" t="str">
        <x:v>user-provided</x:v>
      </x:c>
      <x:c r="K5" s="63"/>
      <x:c r="L5" s="62" t="str">
        <x:v>Yes</x:v>
      </x:c>
      <x:c r="M5" s="62" t="str">
        <x:v>High</x:v>
      </x:c>
      <x:c r="N5" s="62" t="str">
        <x:v>user_input</x:v>
      </x:c>
      <x:c r="O5" s="64" t="str">
        <x:v>02_口径;07_收入法</x:v>
      </x:c>
      <x:c r="P5" s="64" t="str">
        <x:v>黄色蓝字；更新此处即可联动下游</x:v>
      </x:c>
    </x:row>
    <x:row r="6">
      <x:c r="A6" s="61" t="str">
        <x:v>SUSER-U</x:v>
      </x:c>
      <x:c r="B6" s="64" t="str">
        <x:v>用户当前活跃规模</x:v>
      </x:c>
      <x:c r="C6" s="44" t="n">
        <x:v>0</x:v>
      </x:c>
      <x:c r="D6" s="62" t="str">
        <x:v>million users / accounts</x:v>
      </x:c>
      <x:c r="E6" s="62" t="str">
        <x:v>current run-rate</x:v>
      </x:c>
      <x:c r="F6" s="62" t="str">
        <x:v>[地区]</x:v>
      </x:c>
      <x:c r="G6" s="62" t="str">
        <x:v>user-input</x:v>
      </x:c>
      <x:c r="H6" s="64" t="str">
        <x:v>User</x:v>
      </x:c>
      <x:c r="I6" s="64" t="str">
        <x:v>User-provided input</x:v>
      </x:c>
      <x:c r="J6" s="64" t="str">
        <x:v>user-provided</x:v>
      </x:c>
      <x:c r="K6" s="63"/>
      <x:c r="L6" s="62" t="str">
        <x:v>Yes</x:v>
      </x:c>
      <x:c r="M6" s="62" t="str">
        <x:v>High</x:v>
      </x:c>
      <x:c r="N6" s="62" t="str">
        <x:v>user_input</x:v>
      </x:c>
      <x:c r="O6" s="64" t="str">
        <x:v>02_口径;06_用户法</x:v>
      </x:c>
      <x:c r="P6" s="64" t="str">
        <x:v>黄色蓝字；注明 MAU/WAU/DAU/客户口径及是否去重</x:v>
      </x:c>
    </x:row>
    <x:row r="7">
      <x:c r="A7" s="61"/>
      <x:c r="B7" s="64"/>
      <x:c r="C7" s="62"/>
      <x:c r="D7" s="62"/>
      <x:c r="E7" s="62"/>
      <x:c r="F7" s="62"/>
      <x:c r="G7" s="62"/>
      <x:c r="H7" s="64"/>
      <x:c r="I7" s="64"/>
      <x:c r="J7" s="64"/>
      <x:c r="K7" s="63"/>
      <x:c r="L7" s="62"/>
      <x:c r="M7" s="62"/>
      <x:c r="N7" s="62"/>
      <x:c r="O7" s="64"/>
      <x:c r="P7" s="64"/>
    </x:row>
    <x:row r="8">
      <x:c r="A8" s="61"/>
      <x:c r="B8" s="64"/>
      <x:c r="C8" s="62"/>
      <x:c r="D8" s="62"/>
      <x:c r="E8" s="62"/>
      <x:c r="F8" s="62"/>
      <x:c r="G8" s="62"/>
      <x:c r="H8" s="64"/>
      <x:c r="I8" s="64"/>
      <x:c r="J8" s="64"/>
      <x:c r="K8" s="63"/>
      <x:c r="L8" s="62"/>
      <x:c r="M8" s="62"/>
      <x:c r="N8" s="62"/>
      <x:c r="O8" s="64"/>
      <x:c r="P8" s="64"/>
    </x:row>
    <x:row r="9">
      <x:c r="A9" s="61"/>
      <x:c r="B9" s="64"/>
      <x:c r="C9" s="62"/>
      <x:c r="D9" s="62"/>
      <x:c r="E9" s="62"/>
      <x:c r="F9" s="62"/>
      <x:c r="G9" s="62"/>
      <x:c r="H9" s="64"/>
      <x:c r="I9" s="64"/>
      <x:c r="J9" s="64"/>
      <x:c r="K9" s="63"/>
      <x:c r="L9" s="62"/>
      <x:c r="M9" s="62"/>
      <x:c r="N9" s="62"/>
      <x:c r="O9" s="64"/>
      <x:c r="P9" s="64"/>
    </x:row>
    <x:row r="10">
      <x:c r="A10" s="61"/>
      <x:c r="B10" s="64"/>
      <x:c r="C10" s="62"/>
      <x:c r="D10" s="62"/>
      <x:c r="E10" s="62"/>
      <x:c r="F10" s="62"/>
      <x:c r="G10" s="62"/>
      <x:c r="H10" s="64"/>
      <x:c r="I10" s="64"/>
      <x:c r="J10" s="64"/>
      <x:c r="K10" s="63"/>
      <x:c r="L10" s="62"/>
      <x:c r="M10" s="62"/>
      <x:c r="N10" s="62"/>
      <x:c r="O10" s="64"/>
      <x:c r="P10" s="64"/>
    </x:row>
    <x:row r="11">
      <x:c r="A11" s="61"/>
      <x:c r="B11" s="64"/>
      <x:c r="C11" s="62"/>
      <x:c r="D11" s="62"/>
      <x:c r="E11" s="62"/>
      <x:c r="F11" s="62"/>
      <x:c r="G11" s="62"/>
      <x:c r="H11" s="64"/>
      <x:c r="I11" s="64"/>
      <x:c r="J11" s="64"/>
      <x:c r="K11" s="63"/>
      <x:c r="L11" s="62"/>
      <x:c r="M11" s="62"/>
      <x:c r="N11" s="62"/>
      <x:c r="O11" s="64"/>
      <x:c r="P11" s="64"/>
    </x:row>
    <x:row r="12">
      <x:c r="A12" s="61"/>
      <x:c r="B12" s="64"/>
      <x:c r="C12" s="62"/>
      <x:c r="D12" s="62"/>
      <x:c r="E12" s="62"/>
      <x:c r="F12" s="62"/>
      <x:c r="G12" s="62"/>
      <x:c r="H12" s="64"/>
      <x:c r="I12" s="64"/>
      <x:c r="J12" s="64"/>
      <x:c r="K12" s="63"/>
      <x:c r="L12" s="62"/>
      <x:c r="M12" s="62"/>
      <x:c r="N12" s="62"/>
      <x:c r="O12" s="64"/>
      <x:c r="P12" s="64"/>
    </x:row>
    <x:row r="13">
      <x:c r="A13" s="61"/>
      <x:c r="B13" s="64"/>
      <x:c r="C13" s="62"/>
      <x:c r="D13" s="62"/>
      <x:c r="E13" s="62"/>
      <x:c r="F13" s="62"/>
      <x:c r="G13" s="62"/>
      <x:c r="H13" s="64"/>
      <x:c r="I13" s="64"/>
      <x:c r="J13" s="64"/>
      <x:c r="K13" s="63"/>
      <x:c r="L13" s="62"/>
      <x:c r="M13" s="62"/>
      <x:c r="N13" s="62"/>
      <x:c r="O13" s="64"/>
      <x:c r="P13" s="64"/>
    </x:row>
    <x:row r="14">
      <x:c r="A14" s="61"/>
      <x:c r="B14" s="64"/>
      <x:c r="C14" s="62"/>
      <x:c r="D14" s="62"/>
      <x:c r="E14" s="62"/>
      <x:c r="F14" s="62"/>
      <x:c r="G14" s="62"/>
      <x:c r="H14" s="64"/>
      <x:c r="I14" s="64"/>
      <x:c r="J14" s="64"/>
      <x:c r="K14" s="63"/>
      <x:c r="L14" s="62"/>
      <x:c r="M14" s="62"/>
      <x:c r="N14" s="62"/>
      <x:c r="O14" s="64"/>
      <x:c r="P14" s="64"/>
    </x:row>
    <x:row r="15">
      <x:c r="A15" s="61"/>
      <x:c r="B15" s="64"/>
      <x:c r="C15" s="62"/>
      <x:c r="D15" s="62"/>
      <x:c r="E15" s="62"/>
      <x:c r="F15" s="62"/>
      <x:c r="G15" s="62"/>
      <x:c r="H15" s="64"/>
      <x:c r="I15" s="64"/>
      <x:c r="J15" s="64"/>
      <x:c r="K15" s="63"/>
      <x:c r="L15" s="62"/>
      <x:c r="M15" s="62"/>
      <x:c r="N15" s="62"/>
      <x:c r="O15" s="64"/>
      <x:c r="P15" s="64"/>
    </x:row>
    <x:row r="16">
      <x:c r="A16" s="61"/>
      <x:c r="B16" s="64"/>
      <x:c r="C16" s="62"/>
      <x:c r="D16" s="62"/>
      <x:c r="E16" s="62"/>
      <x:c r="F16" s="62"/>
      <x:c r="G16" s="62"/>
      <x:c r="H16" s="64"/>
      <x:c r="I16" s="64"/>
      <x:c r="J16" s="64"/>
      <x:c r="K16" s="63"/>
      <x:c r="L16" s="62"/>
      <x:c r="M16" s="62"/>
      <x:c r="N16" s="62"/>
      <x:c r="O16" s="64"/>
      <x:c r="P16" s="64"/>
    </x:row>
    <x:row r="17">
      <x:c r="A17" s="61"/>
      <x:c r="B17" s="64"/>
      <x:c r="C17" s="62"/>
      <x:c r="D17" s="62"/>
      <x:c r="E17" s="62"/>
      <x:c r="F17" s="62"/>
      <x:c r="G17" s="62"/>
      <x:c r="H17" s="64"/>
      <x:c r="I17" s="64"/>
      <x:c r="J17" s="64"/>
      <x:c r="K17" s="63"/>
      <x:c r="L17" s="62"/>
      <x:c r="M17" s="62"/>
      <x:c r="N17" s="62"/>
      <x:c r="O17" s="64"/>
      <x:c r="P17" s="64"/>
    </x:row>
    <x:row r="18">
      <x:c r="A18" s="61"/>
      <x:c r="B18" s="64"/>
      <x:c r="C18" s="62"/>
      <x:c r="D18" s="62"/>
      <x:c r="E18" s="62"/>
      <x:c r="F18" s="62"/>
      <x:c r="G18" s="62"/>
      <x:c r="H18" s="64"/>
      <x:c r="I18" s="64"/>
      <x:c r="J18" s="64"/>
      <x:c r="K18" s="63"/>
      <x:c r="L18" s="62"/>
      <x:c r="M18" s="62"/>
      <x:c r="N18" s="62"/>
      <x:c r="O18" s="64"/>
      <x:c r="P18" s="64"/>
    </x:row>
    <x:row r="19">
      <x:c r="A19" s="61"/>
      <x:c r="B19" s="64"/>
      <x:c r="C19" s="62"/>
      <x:c r="D19" s="62"/>
      <x:c r="E19" s="62"/>
      <x:c r="F19" s="62"/>
      <x:c r="G19" s="62"/>
      <x:c r="H19" s="64"/>
      <x:c r="I19" s="64"/>
      <x:c r="J19" s="64"/>
      <x:c r="K19" s="63"/>
      <x:c r="L19" s="62"/>
      <x:c r="M19" s="62"/>
      <x:c r="N19" s="62"/>
      <x:c r="O19" s="64"/>
      <x:c r="P19" s="64"/>
    </x:row>
    <x:row r="20">
      <x:c r="A20" s="61"/>
      <x:c r="B20" s="64"/>
      <x:c r="C20" s="62"/>
      <x:c r="D20" s="62"/>
      <x:c r="E20" s="62"/>
      <x:c r="F20" s="62"/>
      <x:c r="G20" s="62"/>
      <x:c r="H20" s="64"/>
      <x:c r="I20" s="64"/>
      <x:c r="J20" s="64"/>
      <x:c r="K20" s="63"/>
      <x:c r="L20" s="62"/>
      <x:c r="M20" s="62"/>
      <x:c r="N20" s="62"/>
      <x:c r="O20" s="64"/>
      <x:c r="P20" s="64"/>
    </x:row>
    <x:row r="21">
      <x:c r="A21" s="61"/>
      <x:c r="B21" s="64"/>
      <x:c r="C21" s="62"/>
      <x:c r="D21" s="62"/>
      <x:c r="E21" s="62"/>
      <x:c r="F21" s="62"/>
      <x:c r="G21" s="62"/>
      <x:c r="H21" s="64"/>
      <x:c r="I21" s="64"/>
      <x:c r="J21" s="64"/>
      <x:c r="K21" s="63"/>
      <x:c r="L21" s="62"/>
      <x:c r="M21" s="62"/>
      <x:c r="N21" s="62"/>
      <x:c r="O21" s="64"/>
      <x:c r="P21" s="64"/>
    </x:row>
    <x:row r="22">
      <x:c r="A22" s="61"/>
      <x:c r="B22" s="64"/>
      <x:c r="C22" s="62"/>
      <x:c r="D22" s="62"/>
      <x:c r="E22" s="62"/>
      <x:c r="F22" s="62"/>
      <x:c r="G22" s="62"/>
      <x:c r="H22" s="64"/>
      <x:c r="I22" s="64"/>
      <x:c r="J22" s="64"/>
      <x:c r="K22" s="63"/>
      <x:c r="L22" s="62"/>
      <x:c r="M22" s="62"/>
      <x:c r="N22" s="62"/>
      <x:c r="O22" s="64"/>
      <x:c r="P22" s="64"/>
    </x:row>
    <x:row r="23">
      <x:c r="A23" s="61"/>
      <x:c r="B23" s="64"/>
      <x:c r="C23" s="62"/>
      <x:c r="D23" s="62"/>
      <x:c r="E23" s="62"/>
      <x:c r="F23" s="62"/>
      <x:c r="G23" s="62"/>
      <x:c r="H23" s="64"/>
      <x:c r="I23" s="64"/>
      <x:c r="J23" s="64"/>
      <x:c r="K23" s="63"/>
      <x:c r="L23" s="62"/>
      <x:c r="M23" s="62"/>
      <x:c r="N23" s="62"/>
      <x:c r="O23" s="64"/>
      <x:c r="P23" s="64"/>
    </x:row>
    <x:row r="24">
      <x:c r="A24" s="61"/>
      <x:c r="B24" s="64"/>
      <x:c r="C24" s="62"/>
      <x:c r="D24" s="62"/>
      <x:c r="E24" s="62"/>
      <x:c r="F24" s="62"/>
      <x:c r="G24" s="62"/>
      <x:c r="H24" s="64"/>
      <x:c r="I24" s="64"/>
      <x:c r="J24" s="64"/>
      <x:c r="K24" s="63"/>
      <x:c r="L24" s="62"/>
      <x:c r="M24" s="62"/>
      <x:c r="N24" s="62"/>
      <x:c r="O24" s="64"/>
      <x:c r="P24" s="64"/>
    </x:row>
    <x:row r="25">
      <x:c r="A25" s="61"/>
      <x:c r="B25" s="64"/>
      <x:c r="C25" s="62"/>
      <x:c r="D25" s="62"/>
      <x:c r="E25" s="62"/>
      <x:c r="F25" s="62"/>
      <x:c r="G25" s="62"/>
      <x:c r="H25" s="64"/>
      <x:c r="I25" s="64"/>
      <x:c r="J25" s="64"/>
      <x:c r="K25" s="63"/>
      <x:c r="L25" s="62"/>
      <x:c r="M25" s="62"/>
      <x:c r="N25" s="62"/>
      <x:c r="O25" s="64"/>
      <x:c r="P25" s="64"/>
    </x:row>
    <x:row r="26">
      <x:c r="A26" s="61"/>
      <x:c r="B26" s="64"/>
      <x:c r="C26" s="62"/>
      <x:c r="D26" s="62"/>
      <x:c r="E26" s="62"/>
      <x:c r="F26" s="62"/>
      <x:c r="G26" s="62"/>
      <x:c r="H26" s="64"/>
      <x:c r="I26" s="64"/>
      <x:c r="J26" s="64"/>
      <x:c r="K26" s="63"/>
      <x:c r="L26" s="62"/>
      <x:c r="M26" s="62"/>
      <x:c r="N26" s="62"/>
      <x:c r="O26" s="64"/>
      <x:c r="P26" s="64"/>
    </x:row>
    <x:row r="27">
      <x:c r="A27" s="61"/>
      <x:c r="B27" s="64"/>
      <x:c r="C27" s="62"/>
      <x:c r="D27" s="62"/>
      <x:c r="E27" s="62"/>
      <x:c r="F27" s="62"/>
      <x:c r="G27" s="62"/>
      <x:c r="H27" s="64"/>
      <x:c r="I27" s="64"/>
      <x:c r="J27" s="64"/>
      <x:c r="K27" s="63"/>
      <x:c r="L27" s="62"/>
      <x:c r="M27" s="62"/>
      <x:c r="N27" s="62"/>
      <x:c r="O27" s="64"/>
      <x:c r="P27" s="64"/>
    </x:row>
    <x:row r="28">
      <x:c r="A28" s="61"/>
      <x:c r="B28" s="64"/>
      <x:c r="C28" s="62"/>
      <x:c r="D28" s="62"/>
      <x:c r="E28" s="62"/>
      <x:c r="F28" s="62"/>
      <x:c r="G28" s="62"/>
      <x:c r="H28" s="64"/>
      <x:c r="I28" s="64"/>
      <x:c r="J28" s="64"/>
      <x:c r="K28" s="63"/>
      <x:c r="L28" s="62"/>
      <x:c r="M28" s="62"/>
      <x:c r="N28" s="62"/>
      <x:c r="O28" s="64"/>
      <x:c r="P28" s="64"/>
    </x:row>
    <x:row r="29">
      <x:c r="A29" s="61"/>
      <x:c r="B29" s="64"/>
      <x:c r="C29" s="62"/>
      <x:c r="D29" s="62"/>
      <x:c r="E29" s="62"/>
      <x:c r="F29" s="62"/>
      <x:c r="G29" s="62"/>
      <x:c r="H29" s="64"/>
      <x:c r="I29" s="64"/>
      <x:c r="J29" s="64"/>
      <x:c r="K29" s="63"/>
      <x:c r="L29" s="62"/>
      <x:c r="M29" s="62"/>
      <x:c r="N29" s="62"/>
      <x:c r="O29" s="64"/>
      <x:c r="P29" s="64"/>
    </x:row>
    <x:row r="30">
      <x:c r="A30" s="61"/>
      <x:c r="B30" s="64"/>
      <x:c r="C30" s="62"/>
      <x:c r="D30" s="62"/>
      <x:c r="E30" s="62"/>
      <x:c r="F30" s="62"/>
      <x:c r="G30" s="62"/>
      <x:c r="H30" s="64"/>
      <x:c r="I30" s="64"/>
      <x:c r="J30" s="64"/>
      <x:c r="K30" s="63"/>
      <x:c r="L30" s="62"/>
      <x:c r="M30" s="62"/>
      <x:c r="N30" s="62"/>
      <x:c r="O30" s="64"/>
      <x:c r="P30" s="64"/>
    </x:row>
    <x:row r="31">
      <x:c r="A31" s="61"/>
      <x:c r="B31" s="64"/>
      <x:c r="C31" s="62"/>
      <x:c r="D31" s="62"/>
      <x:c r="E31" s="62"/>
      <x:c r="F31" s="62"/>
      <x:c r="G31" s="62"/>
      <x:c r="H31" s="64"/>
      <x:c r="I31" s="64"/>
      <x:c r="J31" s="64"/>
      <x:c r="K31" s="63"/>
      <x:c r="L31" s="62"/>
      <x:c r="M31" s="62"/>
      <x:c r="N31" s="62"/>
      <x:c r="O31" s="64"/>
      <x:c r="P31" s="64"/>
    </x:row>
    <x:row r="32">
      <x:c r="A32" s="61"/>
      <x:c r="B32" s="64"/>
      <x:c r="C32" s="62"/>
      <x:c r="D32" s="62"/>
      <x:c r="E32" s="62"/>
      <x:c r="F32" s="62"/>
      <x:c r="G32" s="62"/>
      <x:c r="H32" s="64"/>
      <x:c r="I32" s="64"/>
      <x:c r="J32" s="64"/>
      <x:c r="K32" s="63"/>
      <x:c r="L32" s="62"/>
      <x:c r="M32" s="62"/>
      <x:c r="N32" s="62"/>
      <x:c r="O32" s="64"/>
      <x:c r="P32" s="64"/>
    </x:row>
    <x:row r="33">
      <x:c r="A33" s="61"/>
      <x:c r="B33" s="64"/>
      <x:c r="C33" s="62"/>
      <x:c r="D33" s="62"/>
      <x:c r="E33" s="62"/>
      <x:c r="F33" s="62"/>
      <x:c r="G33" s="62"/>
      <x:c r="H33" s="64"/>
      <x:c r="I33" s="64"/>
      <x:c r="J33" s="64"/>
      <x:c r="K33" s="63"/>
      <x:c r="L33" s="62"/>
      <x:c r="M33" s="62"/>
      <x:c r="N33" s="62"/>
      <x:c r="O33" s="64"/>
      <x:c r="P33" s="64"/>
    </x:row>
    <x:row r="34">
      <x:c r="A34" s="61"/>
      <x:c r="B34" s="64"/>
      <x:c r="C34" s="62"/>
      <x:c r="D34" s="62"/>
      <x:c r="E34" s="62"/>
      <x:c r="F34" s="62"/>
      <x:c r="G34" s="62"/>
      <x:c r="H34" s="64"/>
      <x:c r="I34" s="64"/>
      <x:c r="J34" s="64"/>
      <x:c r="K34" s="63"/>
      <x:c r="L34" s="62"/>
      <x:c r="M34" s="62"/>
      <x:c r="N34" s="62"/>
      <x:c r="O34" s="64"/>
      <x:c r="P34" s="64"/>
    </x:row>
    <x:row r="35">
      <x:c r="A35" s="61"/>
      <x:c r="B35" s="64"/>
      <x:c r="C35" s="62"/>
      <x:c r="D35" s="62"/>
      <x:c r="E35" s="62"/>
      <x:c r="F35" s="62"/>
      <x:c r="G35" s="62"/>
      <x:c r="H35" s="64"/>
      <x:c r="I35" s="64"/>
      <x:c r="J35" s="64"/>
      <x:c r="K35" s="63"/>
      <x:c r="L35" s="62"/>
      <x:c r="M35" s="62"/>
      <x:c r="N35" s="62"/>
      <x:c r="O35" s="64"/>
      <x:c r="P35" s="64"/>
    </x:row>
    <x:row r="36">
      <x:c r="A36" s="61"/>
      <x:c r="B36" s="64"/>
      <x:c r="C36" s="62"/>
      <x:c r="D36" s="62"/>
      <x:c r="E36" s="62"/>
      <x:c r="F36" s="62"/>
      <x:c r="G36" s="62"/>
      <x:c r="H36" s="64"/>
      <x:c r="I36" s="64"/>
      <x:c r="J36" s="64"/>
      <x:c r="K36" s="63"/>
      <x:c r="L36" s="62"/>
      <x:c r="M36" s="62"/>
      <x:c r="N36" s="62"/>
      <x:c r="O36" s="64"/>
      <x:c r="P36" s="64"/>
    </x:row>
    <x:row r="37">
      <x:c r="A37" s="61"/>
      <x:c r="B37" s="64"/>
      <x:c r="C37" s="62"/>
      <x:c r="D37" s="62"/>
      <x:c r="E37" s="62"/>
      <x:c r="F37" s="62"/>
      <x:c r="G37" s="62"/>
      <x:c r="H37" s="64"/>
      <x:c r="I37" s="64"/>
      <x:c r="J37" s="64"/>
      <x:c r="K37" s="63"/>
      <x:c r="L37" s="62"/>
      <x:c r="M37" s="62"/>
      <x:c r="N37" s="62"/>
      <x:c r="O37" s="64"/>
      <x:c r="P37" s="64"/>
    </x:row>
    <x:row r="38">
      <x:c r="A38" s="61"/>
      <x:c r="B38" s="64"/>
      <x:c r="C38" s="62"/>
      <x:c r="D38" s="62"/>
      <x:c r="E38" s="62"/>
      <x:c r="F38" s="62"/>
      <x:c r="G38" s="62"/>
      <x:c r="H38" s="64"/>
      <x:c r="I38" s="64"/>
      <x:c r="J38" s="64"/>
      <x:c r="K38" s="63"/>
      <x:c r="L38" s="62"/>
      <x:c r="M38" s="62"/>
      <x:c r="N38" s="62"/>
      <x:c r="O38" s="64"/>
      <x:c r="P38" s="64"/>
    </x:row>
    <x:row r="39">
      <x:c r="A39" s="61"/>
      <x:c r="B39" s="64"/>
      <x:c r="C39" s="62"/>
      <x:c r="D39" s="62"/>
      <x:c r="E39" s="62"/>
      <x:c r="F39" s="62"/>
      <x:c r="G39" s="62"/>
      <x:c r="H39" s="64"/>
      <x:c r="I39" s="64"/>
      <x:c r="J39" s="64"/>
      <x:c r="K39" s="63"/>
      <x:c r="L39" s="62"/>
      <x:c r="M39" s="62"/>
      <x:c r="N39" s="62"/>
      <x:c r="O39" s="64"/>
      <x:c r="P39" s="64"/>
    </x:row>
    <x:row r="40">
      <x:c r="A40" s="61"/>
      <x:c r="B40" s="64"/>
      <x:c r="C40" s="62"/>
      <x:c r="D40" s="62"/>
      <x:c r="E40" s="62"/>
      <x:c r="F40" s="62"/>
      <x:c r="G40" s="62"/>
      <x:c r="H40" s="64"/>
      <x:c r="I40" s="64"/>
      <x:c r="J40" s="64"/>
      <x:c r="K40" s="63"/>
      <x:c r="L40" s="62"/>
      <x:c r="M40" s="62"/>
      <x:c r="N40" s="62"/>
      <x:c r="O40" s="64"/>
      <x:c r="P40" s="64"/>
    </x:row>
    <x:row r="41">
      <x:c r="A41" s="61"/>
      <x:c r="B41" s="64"/>
      <x:c r="C41" s="62"/>
      <x:c r="D41" s="62"/>
      <x:c r="E41" s="62"/>
      <x:c r="F41" s="62"/>
      <x:c r="G41" s="62"/>
      <x:c r="H41" s="64"/>
      <x:c r="I41" s="64"/>
      <x:c r="J41" s="64"/>
      <x:c r="K41" s="63"/>
      <x:c r="L41" s="62"/>
      <x:c r="M41" s="62"/>
      <x:c r="N41" s="62"/>
      <x:c r="O41" s="64"/>
      <x:c r="P41" s="64"/>
    </x:row>
    <x:row r="42">
      <x:c r="A42" s="61"/>
      <x:c r="B42" s="64"/>
      <x:c r="C42" s="62"/>
      <x:c r="D42" s="62"/>
      <x:c r="E42" s="62"/>
      <x:c r="F42" s="62"/>
      <x:c r="G42" s="62"/>
      <x:c r="H42" s="64"/>
      <x:c r="I42" s="64"/>
      <x:c r="J42" s="64"/>
      <x:c r="K42" s="63"/>
      <x:c r="L42" s="62"/>
      <x:c r="M42" s="62"/>
      <x:c r="N42" s="62"/>
      <x:c r="O42" s="64"/>
      <x:c r="P42" s="64"/>
    </x:row>
    <x:row r="43">
      <x:c r="A43" s="61"/>
      <x:c r="B43" s="64"/>
      <x:c r="C43" s="62"/>
      <x:c r="D43" s="62"/>
      <x:c r="E43" s="62"/>
      <x:c r="F43" s="62"/>
      <x:c r="G43" s="62"/>
      <x:c r="H43" s="64"/>
      <x:c r="I43" s="64"/>
      <x:c r="J43" s="64"/>
      <x:c r="K43" s="63"/>
      <x:c r="L43" s="62"/>
      <x:c r="M43" s="62"/>
      <x:c r="N43" s="62"/>
      <x:c r="O43" s="64"/>
      <x:c r="P43" s="64"/>
    </x:row>
    <x:row r="44">
      <x:c r="A44" s="61"/>
      <x:c r="B44" s="64"/>
      <x:c r="C44" s="62"/>
      <x:c r="D44" s="62"/>
      <x:c r="E44" s="62"/>
      <x:c r="F44" s="62"/>
      <x:c r="G44" s="62"/>
      <x:c r="H44" s="64"/>
      <x:c r="I44" s="64"/>
      <x:c r="J44" s="64"/>
      <x:c r="K44" s="63"/>
      <x:c r="L44" s="62"/>
      <x:c r="M44" s="62"/>
      <x:c r="N44" s="62"/>
      <x:c r="O44" s="64"/>
      <x:c r="P44" s="64"/>
    </x:row>
    <x:row r="45">
      <x:c r="A45" s="61"/>
      <x:c r="B45" s="64"/>
      <x:c r="C45" s="62"/>
      <x:c r="D45" s="62"/>
      <x:c r="E45" s="62"/>
      <x:c r="F45" s="62"/>
      <x:c r="G45" s="62"/>
      <x:c r="H45" s="64"/>
      <x:c r="I45" s="64"/>
      <x:c r="J45" s="64"/>
      <x:c r="K45" s="63"/>
      <x:c r="L45" s="62"/>
      <x:c r="M45" s="62"/>
      <x:c r="N45" s="62"/>
      <x:c r="O45" s="64"/>
      <x:c r="P45" s="64"/>
    </x:row>
    <x:row r="46">
      <x:c r="A46" s="61"/>
      <x:c r="B46" s="64"/>
      <x:c r="C46" s="62"/>
      <x:c r="D46" s="62"/>
      <x:c r="E46" s="62"/>
      <x:c r="F46" s="62"/>
      <x:c r="G46" s="62"/>
      <x:c r="H46" s="64"/>
      <x:c r="I46" s="64"/>
      <x:c r="J46" s="64"/>
      <x:c r="K46" s="63"/>
      <x:c r="L46" s="62"/>
      <x:c r="M46" s="62"/>
      <x:c r="N46" s="62"/>
      <x:c r="O46" s="64"/>
      <x:c r="P46" s="64"/>
    </x:row>
    <x:row r="47">
      <x:c r="A47" s="61"/>
      <x:c r="B47" s="64"/>
      <x:c r="C47" s="62"/>
      <x:c r="D47" s="62"/>
      <x:c r="E47" s="62"/>
      <x:c r="F47" s="62"/>
      <x:c r="G47" s="62"/>
      <x:c r="H47" s="64"/>
      <x:c r="I47" s="64"/>
      <x:c r="J47" s="64"/>
      <x:c r="K47" s="63"/>
      <x:c r="L47" s="62"/>
      <x:c r="M47" s="62"/>
      <x:c r="N47" s="62"/>
      <x:c r="O47" s="64"/>
      <x:c r="P47" s="64"/>
    </x:row>
    <x:row r="48">
      <x:c r="A48" s="61"/>
      <x:c r="B48" s="64"/>
      <x:c r="C48" s="62"/>
      <x:c r="D48" s="62"/>
      <x:c r="E48" s="62"/>
      <x:c r="F48" s="62"/>
      <x:c r="G48" s="62"/>
      <x:c r="H48" s="64"/>
      <x:c r="I48" s="64"/>
      <x:c r="J48" s="64"/>
      <x:c r="K48" s="63"/>
      <x:c r="L48" s="62"/>
      <x:c r="M48" s="62"/>
      <x:c r="N48" s="62"/>
      <x:c r="O48" s="64"/>
      <x:c r="P48" s="64"/>
    </x:row>
    <x:row r="49">
      <x:c r="A49" s="61"/>
      <x:c r="B49" s="64"/>
      <x:c r="C49" s="62"/>
      <x:c r="D49" s="62"/>
      <x:c r="E49" s="62"/>
      <x:c r="F49" s="62"/>
      <x:c r="G49" s="62"/>
      <x:c r="H49" s="64"/>
      <x:c r="I49" s="64"/>
      <x:c r="J49" s="64"/>
      <x:c r="K49" s="63"/>
      <x:c r="L49" s="62"/>
      <x:c r="M49" s="62"/>
      <x:c r="N49" s="62"/>
      <x:c r="O49" s="64"/>
      <x:c r="P49" s="64"/>
    </x:row>
    <x:row r="50">
      <x:c r="A50" s="61"/>
      <x:c r="B50" s="64"/>
      <x:c r="C50" s="62"/>
      <x:c r="D50" s="62"/>
      <x:c r="E50" s="62"/>
      <x:c r="F50" s="62"/>
      <x:c r="G50" s="62"/>
      <x:c r="H50" s="64"/>
      <x:c r="I50" s="64"/>
      <x:c r="J50" s="64"/>
      <x:c r="K50" s="63"/>
      <x:c r="L50" s="62"/>
      <x:c r="M50" s="62"/>
      <x:c r="N50" s="62"/>
      <x:c r="O50" s="64"/>
      <x:c r="P50" s="64"/>
    </x:row>
    <x:row r="51">
      <x:c r="A51" s="61"/>
      <x:c r="B51" s="64"/>
      <x:c r="C51" s="62"/>
      <x:c r="D51" s="62"/>
      <x:c r="E51" s="62"/>
      <x:c r="F51" s="62"/>
      <x:c r="G51" s="62"/>
      <x:c r="H51" s="64"/>
      <x:c r="I51" s="64"/>
      <x:c r="J51" s="64"/>
      <x:c r="K51" s="63"/>
      <x:c r="L51" s="62"/>
      <x:c r="M51" s="62"/>
      <x:c r="N51" s="62"/>
      <x:c r="O51" s="64"/>
      <x:c r="P51" s="64"/>
    </x:row>
    <x:row r="52">
      <x:c r="A52" s="61"/>
      <x:c r="B52" s="64"/>
      <x:c r="C52" s="62"/>
      <x:c r="D52" s="62"/>
      <x:c r="E52" s="62"/>
      <x:c r="F52" s="62"/>
      <x:c r="G52" s="62"/>
      <x:c r="H52" s="64"/>
      <x:c r="I52" s="64"/>
      <x:c r="J52" s="64"/>
      <x:c r="K52" s="63"/>
      <x:c r="L52" s="62"/>
      <x:c r="M52" s="62"/>
      <x:c r="N52" s="62"/>
      <x:c r="O52" s="64"/>
      <x:c r="P52" s="64"/>
    </x:row>
    <x:row r="53">
      <x:c r="A53" s="61"/>
      <x:c r="B53" s="64"/>
      <x:c r="C53" s="62"/>
      <x:c r="D53" s="62"/>
      <x:c r="E53" s="62"/>
      <x:c r="F53" s="62"/>
      <x:c r="G53" s="62"/>
      <x:c r="H53" s="64"/>
      <x:c r="I53" s="64"/>
      <x:c r="J53" s="64"/>
      <x:c r="K53" s="63"/>
      <x:c r="L53" s="62"/>
      <x:c r="M53" s="62"/>
      <x:c r="N53" s="62"/>
      <x:c r="O53" s="64"/>
      <x:c r="P53" s="64"/>
    </x:row>
    <x:row r="54">
      <x:c r="A54" s="61"/>
      <x:c r="B54" s="64"/>
      <x:c r="C54" s="62"/>
      <x:c r="D54" s="62"/>
      <x:c r="E54" s="62"/>
      <x:c r="F54" s="62"/>
      <x:c r="G54" s="62"/>
      <x:c r="H54" s="64"/>
      <x:c r="I54" s="64"/>
      <x:c r="J54" s="64"/>
      <x:c r="K54" s="63"/>
      <x:c r="L54" s="62"/>
      <x:c r="M54" s="62"/>
      <x:c r="N54" s="62"/>
      <x:c r="O54" s="64"/>
      <x:c r="P54" s="64"/>
    </x:row>
    <x:row r="55">
      <x:c r="A55" s="61"/>
      <x:c r="B55" s="64"/>
      <x:c r="C55" s="62"/>
      <x:c r="D55" s="62"/>
      <x:c r="E55" s="62"/>
      <x:c r="F55" s="62"/>
      <x:c r="G55" s="62"/>
      <x:c r="H55" s="64"/>
      <x:c r="I55" s="64"/>
      <x:c r="J55" s="64"/>
      <x:c r="K55" s="63"/>
      <x:c r="L55" s="62"/>
      <x:c r="M55" s="62"/>
      <x:c r="N55" s="62"/>
      <x:c r="O55" s="64"/>
      <x:c r="P55" s="64"/>
    </x:row>
    <x:row r="56">
      <x:c r="A56" s="61"/>
      <x:c r="B56" s="64"/>
      <x:c r="C56" s="62"/>
      <x:c r="D56" s="62"/>
      <x:c r="E56" s="62"/>
      <x:c r="F56" s="62"/>
      <x:c r="G56" s="62"/>
      <x:c r="H56" s="64"/>
      <x:c r="I56" s="64"/>
      <x:c r="J56" s="64"/>
      <x:c r="K56" s="63"/>
      <x:c r="L56" s="62"/>
      <x:c r="M56" s="62"/>
      <x:c r="N56" s="62"/>
      <x:c r="O56" s="64"/>
      <x:c r="P56" s="64"/>
    </x:row>
    <x:row r="57">
      <x:c r="A57" s="61"/>
      <x:c r="B57" s="64"/>
      <x:c r="C57" s="62"/>
      <x:c r="D57" s="62"/>
      <x:c r="E57" s="62"/>
      <x:c r="F57" s="62"/>
      <x:c r="G57" s="62"/>
      <x:c r="H57" s="64"/>
      <x:c r="I57" s="64"/>
      <x:c r="J57" s="64"/>
      <x:c r="K57" s="63"/>
      <x:c r="L57" s="62"/>
      <x:c r="M57" s="62"/>
      <x:c r="N57" s="62"/>
      <x:c r="O57" s="64"/>
      <x:c r="P57" s="64"/>
    </x:row>
    <x:row r="58">
      <x:c r="A58" s="61"/>
      <x:c r="B58" s="64"/>
      <x:c r="C58" s="62"/>
      <x:c r="D58" s="62"/>
      <x:c r="E58" s="62"/>
      <x:c r="F58" s="62"/>
      <x:c r="G58" s="62"/>
      <x:c r="H58" s="64"/>
      <x:c r="I58" s="64"/>
      <x:c r="J58" s="64"/>
      <x:c r="K58" s="63"/>
      <x:c r="L58" s="62"/>
      <x:c r="M58" s="62"/>
      <x:c r="N58" s="62"/>
      <x:c r="O58" s="64"/>
      <x:c r="P58" s="64"/>
    </x:row>
    <x:row r="59">
      <x:c r="A59" s="61"/>
      <x:c r="B59" s="64"/>
      <x:c r="C59" s="62"/>
      <x:c r="D59" s="62"/>
      <x:c r="E59" s="62"/>
      <x:c r="F59" s="62"/>
      <x:c r="G59" s="62"/>
      <x:c r="H59" s="64"/>
      <x:c r="I59" s="64"/>
      <x:c r="J59" s="64"/>
      <x:c r="K59" s="63"/>
      <x:c r="L59" s="62"/>
      <x:c r="M59" s="62"/>
      <x:c r="N59" s="62"/>
      <x:c r="O59" s="64"/>
      <x:c r="P59" s="64"/>
    </x:row>
    <x:row r="60">
      <x:c r="A60" s="61"/>
      <x:c r="B60" s="64"/>
      <x:c r="C60" s="62"/>
      <x:c r="D60" s="62"/>
      <x:c r="E60" s="62"/>
      <x:c r="F60" s="62"/>
      <x:c r="G60" s="62"/>
      <x:c r="H60" s="64"/>
      <x:c r="I60" s="64"/>
      <x:c r="J60" s="64"/>
      <x:c r="K60" s="63"/>
      <x:c r="L60" s="62"/>
      <x:c r="M60" s="62"/>
      <x:c r="N60" s="62"/>
      <x:c r="O60" s="64"/>
      <x:c r="P60" s="64"/>
    </x:row>
    <x:row r="61">
      <x:c r="A61" s="61"/>
      <x:c r="B61" s="64"/>
      <x:c r="C61" s="62"/>
      <x:c r="D61" s="62"/>
      <x:c r="E61" s="62"/>
      <x:c r="F61" s="62"/>
      <x:c r="G61" s="62"/>
      <x:c r="H61" s="64"/>
      <x:c r="I61" s="64"/>
      <x:c r="J61" s="64"/>
      <x:c r="K61" s="63"/>
      <x:c r="L61" s="62"/>
      <x:c r="M61" s="62"/>
      <x:c r="N61" s="62"/>
      <x:c r="O61" s="64"/>
      <x:c r="P61" s="64"/>
    </x:row>
    <x:row r="62">
      <x:c r="A62" s="61"/>
      <x:c r="B62" s="64"/>
      <x:c r="C62" s="62"/>
      <x:c r="D62" s="62"/>
      <x:c r="E62" s="62"/>
      <x:c r="F62" s="62"/>
      <x:c r="G62" s="62"/>
      <x:c r="H62" s="64"/>
      <x:c r="I62" s="64"/>
      <x:c r="J62" s="64"/>
      <x:c r="K62" s="63"/>
      <x:c r="L62" s="62"/>
      <x:c r="M62" s="62"/>
      <x:c r="N62" s="62"/>
      <x:c r="O62" s="64"/>
      <x:c r="P62" s="64"/>
    </x:row>
    <x:row r="63">
      <x:c r="A63" s="61"/>
      <x:c r="B63" s="64"/>
      <x:c r="C63" s="62"/>
      <x:c r="D63" s="62"/>
      <x:c r="E63" s="62"/>
      <x:c r="F63" s="62"/>
      <x:c r="G63" s="62"/>
      <x:c r="H63" s="64"/>
      <x:c r="I63" s="64"/>
      <x:c r="J63" s="64"/>
      <x:c r="K63" s="63"/>
      <x:c r="L63" s="62"/>
      <x:c r="M63" s="62"/>
      <x:c r="N63" s="62"/>
      <x:c r="O63" s="64"/>
      <x:c r="P63" s="64"/>
    </x:row>
    <x:row r="64">
      <x:c r="A64" s="61"/>
      <x:c r="B64" s="64"/>
      <x:c r="C64" s="62"/>
      <x:c r="D64" s="62"/>
      <x:c r="E64" s="62"/>
      <x:c r="F64" s="62"/>
      <x:c r="G64" s="62"/>
      <x:c r="H64" s="64"/>
      <x:c r="I64" s="64"/>
      <x:c r="J64" s="64"/>
      <x:c r="K64" s="63"/>
      <x:c r="L64" s="62"/>
      <x:c r="M64" s="62"/>
      <x:c r="N64" s="62"/>
      <x:c r="O64" s="64"/>
      <x:c r="P64" s="64"/>
    </x:row>
    <x:row r="65">
      <x:c r="A65" s="61"/>
      <x:c r="B65" s="64"/>
      <x:c r="C65" s="62"/>
      <x:c r="D65" s="62"/>
      <x:c r="E65" s="62"/>
      <x:c r="F65" s="62"/>
      <x:c r="G65" s="62"/>
      <x:c r="H65" s="64"/>
      <x:c r="I65" s="64"/>
      <x:c r="J65" s="64"/>
      <x:c r="K65" s="63"/>
      <x:c r="L65" s="62"/>
      <x:c r="M65" s="62"/>
      <x:c r="N65" s="62"/>
      <x:c r="O65" s="64"/>
      <x:c r="P65" s="64"/>
    </x:row>
    <x:row r="66">
      <x:c r="A66" s="61"/>
      <x:c r="B66" s="64"/>
      <x:c r="C66" s="62"/>
      <x:c r="D66" s="62"/>
      <x:c r="E66" s="62"/>
      <x:c r="F66" s="62"/>
      <x:c r="G66" s="62"/>
      <x:c r="H66" s="64"/>
      <x:c r="I66" s="64"/>
      <x:c r="J66" s="64"/>
      <x:c r="K66" s="63"/>
      <x:c r="L66" s="62"/>
      <x:c r="M66" s="62"/>
      <x:c r="N66" s="62"/>
      <x:c r="O66" s="64"/>
      <x:c r="P66" s="64"/>
    </x:row>
    <x:row r="67">
      <x:c r="A67" s="61"/>
      <x:c r="B67" s="64"/>
      <x:c r="C67" s="62"/>
      <x:c r="D67" s="62"/>
      <x:c r="E67" s="62"/>
      <x:c r="F67" s="62"/>
      <x:c r="G67" s="62"/>
      <x:c r="H67" s="64"/>
      <x:c r="I67" s="64"/>
      <x:c r="J67" s="64"/>
      <x:c r="K67" s="63"/>
      <x:c r="L67" s="62"/>
      <x:c r="M67" s="62"/>
      <x:c r="N67" s="62"/>
      <x:c r="O67" s="64"/>
      <x:c r="P67" s="64"/>
    </x:row>
    <x:row r="68">
      <x:c r="A68" s="61"/>
      <x:c r="B68" s="64"/>
      <x:c r="C68" s="62"/>
      <x:c r="D68" s="62"/>
      <x:c r="E68" s="62"/>
      <x:c r="F68" s="62"/>
      <x:c r="G68" s="62"/>
      <x:c r="H68" s="64"/>
      <x:c r="I68" s="64"/>
      <x:c r="J68" s="64"/>
      <x:c r="K68" s="63"/>
      <x:c r="L68" s="62"/>
      <x:c r="M68" s="62"/>
      <x:c r="N68" s="62"/>
      <x:c r="O68" s="64"/>
      <x:c r="P68" s="64"/>
    </x:row>
    <x:row r="69">
      <x:c r="A69" s="61"/>
      <x:c r="B69" s="64"/>
      <x:c r="C69" s="62"/>
      <x:c r="D69" s="62"/>
      <x:c r="E69" s="62"/>
      <x:c r="F69" s="62"/>
      <x:c r="G69" s="62"/>
      <x:c r="H69" s="64"/>
      <x:c r="I69" s="64"/>
      <x:c r="J69" s="64"/>
      <x:c r="K69" s="63"/>
      <x:c r="L69" s="62"/>
      <x:c r="M69" s="62"/>
      <x:c r="N69" s="62"/>
      <x:c r="O69" s="64"/>
      <x:c r="P69" s="64"/>
    </x:row>
    <x:row r="70">
      <x:c r="A70" s="61"/>
      <x:c r="B70" s="64"/>
      <x:c r="C70" s="62"/>
      <x:c r="D70" s="62"/>
      <x:c r="E70" s="62"/>
      <x:c r="F70" s="62"/>
      <x:c r="G70" s="62"/>
      <x:c r="H70" s="64"/>
      <x:c r="I70" s="64"/>
      <x:c r="J70" s="64"/>
      <x:c r="K70" s="63"/>
      <x:c r="L70" s="62"/>
      <x:c r="M70" s="62"/>
      <x:c r="N70" s="62"/>
      <x:c r="O70" s="64"/>
      <x:c r="P70" s="64"/>
    </x:row>
    <x:row r="71">
      <x:c r="A71" s="61"/>
      <x:c r="B71" s="64"/>
      <x:c r="C71" s="62"/>
      <x:c r="D71" s="62"/>
      <x:c r="E71" s="62"/>
      <x:c r="F71" s="62"/>
      <x:c r="G71" s="62"/>
      <x:c r="H71" s="64"/>
      <x:c r="I71" s="64"/>
      <x:c r="J71" s="64"/>
      <x:c r="K71" s="63"/>
      <x:c r="L71" s="62"/>
      <x:c r="M71" s="62"/>
      <x:c r="N71" s="62"/>
      <x:c r="O71" s="64"/>
      <x:c r="P71" s="64"/>
    </x:row>
    <x:row r="72">
      <x:c r="A72" s="61"/>
      <x:c r="B72" s="64"/>
      <x:c r="C72" s="62"/>
      <x:c r="D72" s="62"/>
      <x:c r="E72" s="62"/>
      <x:c r="F72" s="62"/>
      <x:c r="G72" s="62"/>
      <x:c r="H72" s="64"/>
      <x:c r="I72" s="64"/>
      <x:c r="J72" s="64"/>
      <x:c r="K72" s="63"/>
      <x:c r="L72" s="62"/>
      <x:c r="M72" s="62"/>
      <x:c r="N72" s="62"/>
      <x:c r="O72" s="64"/>
      <x:c r="P72" s="64"/>
    </x:row>
    <x:row r="73">
      <x:c r="A73" s="61"/>
      <x:c r="B73" s="64"/>
      <x:c r="C73" s="62"/>
      <x:c r="D73" s="62"/>
      <x:c r="E73" s="62"/>
      <x:c r="F73" s="62"/>
      <x:c r="G73" s="62"/>
      <x:c r="H73" s="64"/>
      <x:c r="I73" s="64"/>
      <x:c r="J73" s="64"/>
      <x:c r="K73" s="63"/>
      <x:c r="L73" s="62"/>
      <x:c r="M73" s="62"/>
      <x:c r="N73" s="62"/>
      <x:c r="O73" s="64"/>
      <x:c r="P73" s="64"/>
    </x:row>
    <x:row r="74">
      <x:c r="A74" s="61"/>
      <x:c r="B74" s="64"/>
      <x:c r="C74" s="62"/>
      <x:c r="D74" s="62"/>
      <x:c r="E74" s="62"/>
      <x:c r="F74" s="62"/>
      <x:c r="G74" s="62"/>
      <x:c r="H74" s="64"/>
      <x:c r="I74" s="64"/>
      <x:c r="J74" s="64"/>
      <x:c r="K74" s="63"/>
      <x:c r="L74" s="62"/>
      <x:c r="M74" s="62"/>
      <x:c r="N74" s="62"/>
      <x:c r="O74" s="64"/>
      <x:c r="P74" s="64"/>
    </x:row>
    <x:row r="75">
      <x:c r="A75" s="61"/>
      <x:c r="B75" s="64"/>
      <x:c r="C75" s="62"/>
      <x:c r="D75" s="62"/>
      <x:c r="E75" s="62"/>
      <x:c r="F75" s="62"/>
      <x:c r="G75" s="62"/>
      <x:c r="H75" s="64"/>
      <x:c r="I75" s="64"/>
      <x:c r="J75" s="64"/>
      <x:c r="K75" s="63"/>
      <x:c r="L75" s="62"/>
      <x:c r="M75" s="62"/>
      <x:c r="N75" s="62"/>
      <x:c r="O75" s="64"/>
      <x:c r="P75" s="64"/>
    </x:row>
    <x:row r="76">
      <x:c r="A76" s="61"/>
      <x:c r="B76" s="64"/>
      <x:c r="C76" s="62"/>
      <x:c r="D76" s="62"/>
      <x:c r="E76" s="62"/>
      <x:c r="F76" s="62"/>
      <x:c r="G76" s="62"/>
      <x:c r="H76" s="64"/>
      <x:c r="I76" s="64"/>
      <x:c r="J76" s="64"/>
      <x:c r="K76" s="63"/>
      <x:c r="L76" s="62"/>
      <x:c r="M76" s="62"/>
      <x:c r="N76" s="62"/>
      <x:c r="O76" s="64"/>
      <x:c r="P76" s="64"/>
    </x:row>
    <x:row r="77">
      <x:c r="A77" s="61"/>
      <x:c r="B77" s="64"/>
      <x:c r="C77" s="62"/>
      <x:c r="D77" s="62"/>
      <x:c r="E77" s="62"/>
      <x:c r="F77" s="62"/>
      <x:c r="G77" s="62"/>
      <x:c r="H77" s="64"/>
      <x:c r="I77" s="64"/>
      <x:c r="J77" s="64"/>
      <x:c r="K77" s="63"/>
      <x:c r="L77" s="62"/>
      <x:c r="M77" s="62"/>
      <x:c r="N77" s="62"/>
      <x:c r="O77" s="64"/>
      <x:c r="P77" s="64"/>
    </x:row>
    <x:row r="78">
      <x:c r="A78" s="61"/>
      <x:c r="B78" s="64"/>
      <x:c r="C78" s="62"/>
      <x:c r="D78" s="62"/>
      <x:c r="E78" s="62"/>
      <x:c r="F78" s="62"/>
      <x:c r="G78" s="62"/>
      <x:c r="H78" s="64"/>
      <x:c r="I78" s="64"/>
      <x:c r="J78" s="64"/>
      <x:c r="K78" s="63"/>
      <x:c r="L78" s="62"/>
      <x:c r="M78" s="62"/>
      <x:c r="N78" s="62"/>
      <x:c r="O78" s="64"/>
      <x:c r="P78" s="64"/>
    </x:row>
    <x:row r="79">
      <x:c r="A79" s="61"/>
      <x:c r="B79" s="64"/>
      <x:c r="C79" s="62"/>
      <x:c r="D79" s="62"/>
      <x:c r="E79" s="62"/>
      <x:c r="F79" s="62"/>
      <x:c r="G79" s="62"/>
      <x:c r="H79" s="64"/>
      <x:c r="I79" s="64"/>
      <x:c r="J79" s="64"/>
      <x:c r="K79" s="63"/>
      <x:c r="L79" s="62"/>
      <x:c r="M79" s="62"/>
      <x:c r="N79" s="62"/>
      <x:c r="O79" s="64"/>
      <x:c r="P79" s="64"/>
    </x:row>
    <x:row r="80">
      <x:c r="A80" s="61"/>
      <x:c r="B80" s="64"/>
      <x:c r="C80" s="62"/>
      <x:c r="D80" s="62"/>
      <x:c r="E80" s="62"/>
      <x:c r="F80" s="62"/>
      <x:c r="G80" s="62"/>
      <x:c r="H80" s="64"/>
      <x:c r="I80" s="64"/>
      <x:c r="J80" s="64"/>
      <x:c r="K80" s="63"/>
      <x:c r="L80" s="62"/>
      <x:c r="M80" s="62"/>
      <x:c r="N80" s="62"/>
      <x:c r="O80" s="64"/>
      <x:c r="P80" s="64"/>
    </x:row>
    <x:row r="81">
      <x:c r="A81" s="61"/>
      <x:c r="B81" s="64"/>
      <x:c r="C81" s="62"/>
      <x:c r="D81" s="62"/>
      <x:c r="E81" s="62"/>
      <x:c r="F81" s="62"/>
      <x:c r="G81" s="62"/>
      <x:c r="H81" s="64"/>
      <x:c r="I81" s="64"/>
      <x:c r="J81" s="64"/>
      <x:c r="K81" s="63"/>
      <x:c r="L81" s="62"/>
      <x:c r="M81" s="62"/>
      <x:c r="N81" s="62"/>
      <x:c r="O81" s="64"/>
      <x:c r="P81" s="64"/>
    </x:row>
    <x:row r="82">
      <x:c r="A82" s="61"/>
      <x:c r="B82" s="64"/>
      <x:c r="C82" s="62"/>
      <x:c r="D82" s="62"/>
      <x:c r="E82" s="62"/>
      <x:c r="F82" s="62"/>
      <x:c r="G82" s="62"/>
      <x:c r="H82" s="64"/>
      <x:c r="I82" s="64"/>
      <x:c r="J82" s="64"/>
      <x:c r="K82" s="63"/>
      <x:c r="L82" s="62"/>
      <x:c r="M82" s="62"/>
      <x:c r="N82" s="62"/>
      <x:c r="O82" s="64"/>
      <x:c r="P82" s="64"/>
    </x:row>
    <x:row r="83">
      <x:c r="A83" s="61"/>
      <x:c r="B83" s="64"/>
      <x:c r="C83" s="62"/>
      <x:c r="D83" s="62"/>
      <x:c r="E83" s="62"/>
      <x:c r="F83" s="62"/>
      <x:c r="G83" s="62"/>
      <x:c r="H83" s="64"/>
      <x:c r="I83" s="64"/>
      <x:c r="J83" s="64"/>
      <x:c r="K83" s="63"/>
      <x:c r="L83" s="62"/>
      <x:c r="M83" s="62"/>
      <x:c r="N83" s="62"/>
      <x:c r="O83" s="64"/>
      <x:c r="P83" s="64"/>
    </x:row>
    <x:row r="84">
      <x:c r="A84" s="61"/>
      <x:c r="B84" s="64"/>
      <x:c r="C84" s="62"/>
      <x:c r="D84" s="62"/>
      <x:c r="E84" s="62"/>
      <x:c r="F84" s="62"/>
      <x:c r="G84" s="62"/>
      <x:c r="H84" s="64"/>
      <x:c r="I84" s="64"/>
      <x:c r="J84" s="64"/>
      <x:c r="K84" s="63"/>
      <x:c r="L84" s="62"/>
      <x:c r="M84" s="62"/>
      <x:c r="N84" s="62"/>
      <x:c r="O84" s="64"/>
      <x:c r="P84" s="64"/>
    </x:row>
    <x:row r="85">
      <x:c r="A85" s="61"/>
      <x:c r="B85" s="64"/>
      <x:c r="C85" s="62"/>
      <x:c r="D85" s="62"/>
      <x:c r="E85" s="62"/>
      <x:c r="F85" s="62"/>
      <x:c r="G85" s="62"/>
      <x:c r="H85" s="64"/>
      <x:c r="I85" s="64"/>
      <x:c r="J85" s="64"/>
      <x:c r="K85" s="63"/>
      <x:c r="L85" s="62"/>
      <x:c r="M85" s="62"/>
      <x:c r="N85" s="62"/>
      <x:c r="O85" s="64"/>
      <x:c r="P85" s="64"/>
    </x:row>
    <x:row r="86">
      <x:c r="A86" s="61"/>
      <x:c r="B86" s="64"/>
      <x:c r="C86" s="62"/>
      <x:c r="D86" s="62"/>
      <x:c r="E86" s="62"/>
      <x:c r="F86" s="62"/>
      <x:c r="G86" s="62"/>
      <x:c r="H86" s="64"/>
      <x:c r="I86" s="64"/>
      <x:c r="J86" s="64"/>
      <x:c r="K86" s="63"/>
      <x:c r="L86" s="62"/>
      <x:c r="M86" s="62"/>
      <x:c r="N86" s="62"/>
      <x:c r="O86" s="64"/>
      <x:c r="P86" s="64"/>
    </x:row>
    <x:row r="87">
      <x:c r="A87" s="61"/>
      <x:c r="B87" s="64"/>
      <x:c r="C87" s="62"/>
      <x:c r="D87" s="62"/>
      <x:c r="E87" s="62"/>
      <x:c r="F87" s="62"/>
      <x:c r="G87" s="62"/>
      <x:c r="H87" s="64"/>
      <x:c r="I87" s="64"/>
      <x:c r="J87" s="64"/>
      <x:c r="K87" s="63"/>
      <x:c r="L87" s="62"/>
      <x:c r="M87" s="62"/>
      <x:c r="N87" s="62"/>
      <x:c r="O87" s="64"/>
      <x:c r="P87" s="64"/>
    </x:row>
    <x:row r="88">
      <x:c r="A88" s="61"/>
      <x:c r="B88" s="64"/>
      <x:c r="C88" s="62"/>
      <x:c r="D88" s="62"/>
      <x:c r="E88" s="62"/>
      <x:c r="F88" s="62"/>
      <x:c r="G88" s="62"/>
      <x:c r="H88" s="64"/>
      <x:c r="I88" s="64"/>
      <x:c r="J88" s="64"/>
      <x:c r="K88" s="63"/>
      <x:c r="L88" s="62"/>
      <x:c r="M88" s="62"/>
      <x:c r="N88" s="62"/>
      <x:c r="O88" s="64"/>
      <x:c r="P88" s="64"/>
    </x:row>
    <x:row r="89">
      <x:c r="A89" s="61"/>
      <x:c r="B89" s="64"/>
      <x:c r="C89" s="62"/>
      <x:c r="D89" s="62"/>
      <x:c r="E89" s="62"/>
      <x:c r="F89" s="62"/>
      <x:c r="G89" s="62"/>
      <x:c r="H89" s="64"/>
      <x:c r="I89" s="64"/>
      <x:c r="J89" s="64"/>
      <x:c r="K89" s="63"/>
      <x:c r="L89" s="62"/>
      <x:c r="M89" s="62"/>
      <x:c r="N89" s="62"/>
      <x:c r="O89" s="64"/>
      <x:c r="P89" s="64"/>
    </x:row>
    <x:row r="90">
      <x:c r="A90" s="61"/>
      <x:c r="B90" s="64"/>
      <x:c r="C90" s="62"/>
      <x:c r="D90" s="62"/>
      <x:c r="E90" s="62"/>
      <x:c r="F90" s="62"/>
      <x:c r="G90" s="62"/>
      <x:c r="H90" s="64"/>
      <x:c r="I90" s="64"/>
      <x:c r="J90" s="64"/>
      <x:c r="K90" s="63"/>
      <x:c r="L90" s="62"/>
      <x:c r="M90" s="62"/>
      <x:c r="N90" s="62"/>
      <x:c r="O90" s="64"/>
      <x:c r="P90" s="64"/>
    </x:row>
    <x:row r="91">
      <x:c r="A91" s="61"/>
      <x:c r="B91" s="64"/>
      <x:c r="C91" s="62"/>
      <x:c r="D91" s="62"/>
      <x:c r="E91" s="62"/>
      <x:c r="F91" s="62"/>
      <x:c r="G91" s="62"/>
      <x:c r="H91" s="64"/>
      <x:c r="I91" s="64"/>
      <x:c r="J91" s="64"/>
      <x:c r="K91" s="63"/>
      <x:c r="L91" s="62"/>
      <x:c r="M91" s="62"/>
      <x:c r="N91" s="62"/>
      <x:c r="O91" s="64"/>
      <x:c r="P91" s="64"/>
    </x:row>
    <x:row r="92">
      <x:c r="A92" s="61"/>
      <x:c r="B92" s="64"/>
      <x:c r="C92" s="62"/>
      <x:c r="D92" s="62"/>
      <x:c r="E92" s="62"/>
      <x:c r="F92" s="62"/>
      <x:c r="G92" s="62"/>
      <x:c r="H92" s="64"/>
      <x:c r="I92" s="64"/>
      <x:c r="J92" s="64"/>
      <x:c r="K92" s="63"/>
      <x:c r="L92" s="62"/>
      <x:c r="M92" s="62"/>
      <x:c r="N92" s="62"/>
      <x:c r="O92" s="64"/>
      <x:c r="P92" s="64"/>
    </x:row>
    <x:row r="93">
      <x:c r="A93" s="61"/>
      <x:c r="B93" s="64"/>
      <x:c r="C93" s="62"/>
      <x:c r="D93" s="62"/>
      <x:c r="E93" s="62"/>
      <x:c r="F93" s="62"/>
      <x:c r="G93" s="62"/>
      <x:c r="H93" s="64"/>
      <x:c r="I93" s="64"/>
      <x:c r="J93" s="64"/>
      <x:c r="K93" s="63"/>
      <x:c r="L93" s="62"/>
      <x:c r="M93" s="62"/>
      <x:c r="N93" s="62"/>
      <x:c r="O93" s="64"/>
      <x:c r="P93" s="64"/>
    </x:row>
    <x:row r="94">
      <x:c r="A94" s="61"/>
      <x:c r="B94" s="64"/>
      <x:c r="C94" s="62"/>
      <x:c r="D94" s="62"/>
      <x:c r="E94" s="62"/>
      <x:c r="F94" s="62"/>
      <x:c r="G94" s="62"/>
      <x:c r="H94" s="64"/>
      <x:c r="I94" s="64"/>
      <x:c r="J94" s="64"/>
      <x:c r="K94" s="63"/>
      <x:c r="L94" s="62"/>
      <x:c r="M94" s="62"/>
      <x:c r="N94" s="62"/>
      <x:c r="O94" s="64"/>
      <x:c r="P94" s="64"/>
    </x:row>
    <x:row r="95">
      <x:c r="A95" s="61"/>
      <x:c r="B95" s="64"/>
      <x:c r="C95" s="62"/>
      <x:c r="D95" s="62"/>
      <x:c r="E95" s="62"/>
      <x:c r="F95" s="62"/>
      <x:c r="G95" s="62"/>
      <x:c r="H95" s="64"/>
      <x:c r="I95" s="64"/>
      <x:c r="J95" s="64"/>
      <x:c r="K95" s="63"/>
      <x:c r="L95" s="62"/>
      <x:c r="M95" s="62"/>
      <x:c r="N95" s="62"/>
      <x:c r="O95" s="64"/>
      <x:c r="P95" s="64"/>
    </x:row>
    <x:row r="96">
      <x:c r="A96" s="61"/>
      <x:c r="B96" s="64"/>
      <x:c r="C96" s="62"/>
      <x:c r="D96" s="62"/>
      <x:c r="E96" s="62"/>
      <x:c r="F96" s="62"/>
      <x:c r="G96" s="62"/>
      <x:c r="H96" s="64"/>
      <x:c r="I96" s="64"/>
      <x:c r="J96" s="64"/>
      <x:c r="K96" s="63"/>
      <x:c r="L96" s="62"/>
      <x:c r="M96" s="62"/>
      <x:c r="N96" s="62"/>
      <x:c r="O96" s="64"/>
      <x:c r="P96" s="64"/>
    </x:row>
    <x:row r="97">
      <x:c r="A97" s="61"/>
      <x:c r="B97" s="64"/>
      <x:c r="C97" s="62"/>
      <x:c r="D97" s="62"/>
      <x:c r="E97" s="62"/>
      <x:c r="F97" s="62"/>
      <x:c r="G97" s="62"/>
      <x:c r="H97" s="64"/>
      <x:c r="I97" s="64"/>
      <x:c r="J97" s="64"/>
      <x:c r="K97" s="63"/>
      <x:c r="L97" s="62"/>
      <x:c r="M97" s="62"/>
      <x:c r="N97" s="62"/>
      <x:c r="O97" s="64"/>
      <x:c r="P97" s="64"/>
    </x:row>
    <x:row r="98">
      <x:c r="A98" s="61"/>
      <x:c r="B98" s="64"/>
      <x:c r="C98" s="62"/>
      <x:c r="D98" s="62"/>
      <x:c r="E98" s="62"/>
      <x:c r="F98" s="62"/>
      <x:c r="G98" s="62"/>
      <x:c r="H98" s="64"/>
      <x:c r="I98" s="64"/>
      <x:c r="J98" s="64"/>
      <x:c r="K98" s="63"/>
      <x:c r="L98" s="62"/>
      <x:c r="M98" s="62"/>
      <x:c r="N98" s="62"/>
      <x:c r="O98" s="64"/>
      <x:c r="P98" s="64"/>
    </x:row>
    <x:row r="99">
      <x:c r="A99" s="61"/>
      <x:c r="B99" s="64"/>
      <x:c r="C99" s="62"/>
      <x:c r="D99" s="62"/>
      <x:c r="E99" s="62"/>
      <x:c r="F99" s="62"/>
      <x:c r="G99" s="62"/>
      <x:c r="H99" s="64"/>
      <x:c r="I99" s="64"/>
      <x:c r="J99" s="64"/>
      <x:c r="K99" s="63"/>
      <x:c r="L99" s="62"/>
      <x:c r="M99" s="62"/>
      <x:c r="N99" s="62"/>
      <x:c r="O99" s="64"/>
      <x:c r="P99" s="64"/>
    </x:row>
    <x:row r="100">
      <x:c r="A100" s="61"/>
      <x:c r="B100" s="64"/>
      <x:c r="C100" s="62"/>
      <x:c r="D100" s="62"/>
      <x:c r="E100" s="62"/>
      <x:c r="F100" s="62"/>
      <x:c r="G100" s="62"/>
      <x:c r="H100" s="64"/>
      <x:c r="I100" s="64"/>
      <x:c r="J100" s="64"/>
      <x:c r="K100" s="63"/>
      <x:c r="L100" s="62"/>
      <x:c r="M100" s="62"/>
      <x:c r="N100" s="62"/>
      <x:c r="O100" s="64"/>
      <x:c r="P100" s="64"/>
    </x:row>
    <x:row r="101">
      <x:c r="A101" s="61"/>
      <x:c r="B101" s="64"/>
      <x:c r="C101" s="62"/>
      <x:c r="D101" s="62"/>
      <x:c r="E101" s="62"/>
      <x:c r="F101" s="62"/>
      <x:c r="G101" s="62"/>
      <x:c r="H101" s="64"/>
      <x:c r="I101" s="64"/>
      <x:c r="J101" s="64"/>
      <x:c r="K101" s="63"/>
      <x:c r="L101" s="62"/>
      <x:c r="M101" s="62"/>
      <x:c r="N101" s="62"/>
      <x:c r="O101" s="64"/>
      <x:c r="P101" s="64"/>
    </x:row>
    <x:row r="102">
      <x:c r="A102" s="61"/>
      <x:c r="B102" s="64"/>
      <x:c r="C102" s="62"/>
      <x:c r="D102" s="62"/>
      <x:c r="E102" s="62"/>
      <x:c r="F102" s="62"/>
      <x:c r="G102" s="62"/>
      <x:c r="H102" s="64"/>
      <x:c r="I102" s="64"/>
      <x:c r="J102" s="64"/>
      <x:c r="K102" s="63"/>
      <x:c r="L102" s="62"/>
      <x:c r="M102" s="62"/>
      <x:c r="N102" s="62"/>
      <x:c r="O102" s="64"/>
      <x:c r="P102" s="64"/>
    </x:row>
    <x:row r="103">
      <x:c r="A103" s="61"/>
      <x:c r="B103" s="64"/>
      <x:c r="C103" s="62"/>
      <x:c r="D103" s="62"/>
      <x:c r="E103" s="62"/>
      <x:c r="F103" s="62"/>
      <x:c r="G103" s="62"/>
      <x:c r="H103" s="64"/>
      <x:c r="I103" s="64"/>
      <x:c r="J103" s="64"/>
      <x:c r="K103" s="63"/>
      <x:c r="L103" s="62"/>
      <x:c r="M103" s="62"/>
      <x:c r="N103" s="62"/>
      <x:c r="O103" s="64"/>
      <x:c r="P103" s="64"/>
    </x:row>
    <x:row r="104">
      <x:c r="A104" s="61"/>
      <x:c r="B104" s="64"/>
      <x:c r="C104" s="62"/>
      <x:c r="D104" s="62"/>
      <x:c r="E104" s="62"/>
      <x:c r="F104" s="62"/>
      <x:c r="G104" s="62"/>
      <x:c r="H104" s="64"/>
      <x:c r="I104" s="64"/>
      <x:c r="J104" s="64"/>
      <x:c r="K104" s="63"/>
      <x:c r="L104" s="62"/>
      <x:c r="M104" s="62"/>
      <x:c r="N104" s="62"/>
      <x:c r="O104" s="64"/>
      <x:c r="P104" s="64"/>
    </x:row>
    <x:row r="105">
      <x:c r="A105" s="61"/>
      <x:c r="B105" s="64"/>
      <x:c r="C105" s="62"/>
      <x:c r="D105" s="62"/>
      <x:c r="E105" s="62"/>
      <x:c r="F105" s="62"/>
      <x:c r="G105" s="62"/>
      <x:c r="H105" s="64"/>
      <x:c r="I105" s="64"/>
      <x:c r="J105" s="64"/>
      <x:c r="K105" s="63"/>
      <x:c r="L105" s="62"/>
      <x:c r="M105" s="62"/>
      <x:c r="N105" s="62"/>
      <x:c r="O105" s="64"/>
      <x:c r="P105" s="64"/>
    </x:row>
    <x:row r="106">
      <x:c r="A106" s="61"/>
      <x:c r="B106" s="64"/>
      <x:c r="C106" s="62"/>
      <x:c r="D106" s="62"/>
      <x:c r="E106" s="62"/>
      <x:c r="F106" s="62"/>
      <x:c r="G106" s="62"/>
      <x:c r="H106" s="64"/>
      <x:c r="I106" s="64"/>
      <x:c r="J106" s="64"/>
      <x:c r="K106" s="63"/>
      <x:c r="L106" s="62"/>
      <x:c r="M106" s="62"/>
      <x:c r="N106" s="62"/>
      <x:c r="O106" s="64"/>
      <x:c r="P106" s="64"/>
    </x:row>
    <x:row r="107">
      <x:c r="A107" s="61"/>
      <x:c r="B107" s="64"/>
      <x:c r="C107" s="62"/>
      <x:c r="D107" s="62"/>
      <x:c r="E107" s="62"/>
      <x:c r="F107" s="62"/>
      <x:c r="G107" s="62"/>
      <x:c r="H107" s="64"/>
      <x:c r="I107" s="64"/>
      <x:c r="J107" s="64"/>
      <x:c r="K107" s="63"/>
      <x:c r="L107" s="62"/>
      <x:c r="M107" s="62"/>
      <x:c r="N107" s="62"/>
      <x:c r="O107" s="64"/>
      <x:c r="P107" s="64"/>
    </x:row>
    <x:row r="108">
      <x:c r="A108" s="61"/>
      <x:c r="B108" s="64"/>
      <x:c r="C108" s="62"/>
      <x:c r="D108" s="62"/>
      <x:c r="E108" s="62"/>
      <x:c r="F108" s="62"/>
      <x:c r="G108" s="62"/>
      <x:c r="H108" s="64"/>
      <x:c r="I108" s="64"/>
      <x:c r="J108" s="64"/>
      <x:c r="K108" s="63"/>
      <x:c r="L108" s="62"/>
      <x:c r="M108" s="62"/>
      <x:c r="N108" s="62"/>
      <x:c r="O108" s="64"/>
      <x:c r="P108" s="64"/>
    </x:row>
    <x:row r="109">
      <x:c r="A109" s="61"/>
      <x:c r="B109" s="64"/>
      <x:c r="C109" s="62"/>
      <x:c r="D109" s="62"/>
      <x:c r="E109" s="62"/>
      <x:c r="F109" s="62"/>
      <x:c r="G109" s="62"/>
      <x:c r="H109" s="64"/>
      <x:c r="I109" s="64"/>
      <x:c r="J109" s="64"/>
      <x:c r="K109" s="63"/>
      <x:c r="L109" s="62"/>
      <x:c r="M109" s="62"/>
      <x:c r="N109" s="62"/>
      <x:c r="O109" s="64"/>
      <x:c r="P109" s="64"/>
    </x:row>
    <x:row r="110">
      <x:c r="A110" s="61"/>
      <x:c r="B110" s="64"/>
      <x:c r="C110" s="62"/>
      <x:c r="D110" s="62"/>
      <x:c r="E110" s="62"/>
      <x:c r="F110" s="62"/>
      <x:c r="G110" s="62"/>
      <x:c r="H110" s="64"/>
      <x:c r="I110" s="64"/>
      <x:c r="J110" s="64"/>
      <x:c r="K110" s="63"/>
      <x:c r="L110" s="62"/>
      <x:c r="M110" s="62"/>
      <x:c r="N110" s="62"/>
      <x:c r="O110" s="64"/>
      <x:c r="P110" s="64"/>
    </x:row>
    <x:row r="111">
      <x:c r="A111" s="61"/>
      <x:c r="B111" s="64"/>
      <x:c r="C111" s="62"/>
      <x:c r="D111" s="62"/>
      <x:c r="E111" s="62"/>
      <x:c r="F111" s="62"/>
      <x:c r="G111" s="62"/>
      <x:c r="H111" s="64"/>
      <x:c r="I111" s="64"/>
      <x:c r="J111" s="64"/>
      <x:c r="K111" s="63"/>
      <x:c r="L111" s="62"/>
      <x:c r="M111" s="62"/>
      <x:c r="N111" s="62"/>
      <x:c r="O111" s="64"/>
      <x:c r="P111" s="64"/>
    </x:row>
    <x:row r="112">
      <x:c r="A112" s="61"/>
      <x:c r="B112" s="64"/>
      <x:c r="C112" s="62"/>
      <x:c r="D112" s="62"/>
      <x:c r="E112" s="62"/>
      <x:c r="F112" s="62"/>
      <x:c r="G112" s="62"/>
      <x:c r="H112" s="64"/>
      <x:c r="I112" s="64"/>
      <x:c r="J112" s="64"/>
      <x:c r="K112" s="63"/>
      <x:c r="L112" s="62"/>
      <x:c r="M112" s="62"/>
      <x:c r="N112" s="62"/>
      <x:c r="O112" s="64"/>
      <x:c r="P112" s="64"/>
    </x:row>
    <x:row r="113">
      <x:c r="A113" s="61"/>
      <x:c r="B113" s="64"/>
      <x:c r="C113" s="62"/>
      <x:c r="D113" s="62"/>
      <x:c r="E113" s="62"/>
      <x:c r="F113" s="62"/>
      <x:c r="G113" s="62"/>
      <x:c r="H113" s="64"/>
      <x:c r="I113" s="64"/>
      <x:c r="J113" s="64"/>
      <x:c r="K113" s="63"/>
      <x:c r="L113" s="62"/>
      <x:c r="M113" s="62"/>
      <x:c r="N113" s="62"/>
      <x:c r="O113" s="64"/>
      <x:c r="P113" s="64"/>
    </x:row>
    <x:row r="114">
      <x:c r="A114" s="61"/>
      <x:c r="B114" s="64"/>
      <x:c r="C114" s="62"/>
      <x:c r="D114" s="62"/>
      <x:c r="E114" s="62"/>
      <x:c r="F114" s="62"/>
      <x:c r="G114" s="62"/>
      <x:c r="H114" s="64"/>
      <x:c r="I114" s="64"/>
      <x:c r="J114" s="64"/>
      <x:c r="K114" s="63"/>
      <x:c r="L114" s="62"/>
      <x:c r="M114" s="62"/>
      <x:c r="N114" s="62"/>
      <x:c r="O114" s="64"/>
      <x:c r="P114" s="64"/>
    </x:row>
    <x:row r="115">
      <x:c r="A115" s="61"/>
      <x:c r="B115" s="64"/>
      <x:c r="C115" s="62"/>
      <x:c r="D115" s="62"/>
      <x:c r="E115" s="62"/>
      <x:c r="F115" s="62"/>
      <x:c r="G115" s="62"/>
      <x:c r="H115" s="64"/>
      <x:c r="I115" s="64"/>
      <x:c r="J115" s="64"/>
      <x:c r="K115" s="63"/>
      <x:c r="L115" s="62"/>
      <x:c r="M115" s="62"/>
      <x:c r="N115" s="62"/>
      <x:c r="O115" s="64"/>
      <x:c r="P115" s="64"/>
    </x:row>
    <x:row r="116">
      <x:c r="A116" s="61"/>
      <x:c r="B116" s="64"/>
      <x:c r="C116" s="62"/>
      <x:c r="D116" s="62"/>
      <x:c r="E116" s="62"/>
      <x:c r="F116" s="62"/>
      <x:c r="G116" s="62"/>
      <x:c r="H116" s="64"/>
      <x:c r="I116" s="64"/>
      <x:c r="J116" s="64"/>
      <x:c r="K116" s="63"/>
      <x:c r="L116" s="62"/>
      <x:c r="M116" s="62"/>
      <x:c r="N116" s="62"/>
      <x:c r="O116" s="64"/>
      <x:c r="P116" s="64"/>
    </x:row>
    <x:row r="117">
      <x:c r="A117" s="61"/>
      <x:c r="B117" s="64"/>
      <x:c r="C117" s="62"/>
      <x:c r="D117" s="62"/>
      <x:c r="E117" s="62"/>
      <x:c r="F117" s="62"/>
      <x:c r="G117" s="62"/>
      <x:c r="H117" s="64"/>
      <x:c r="I117" s="64"/>
      <x:c r="J117" s="64"/>
      <x:c r="K117" s="63"/>
      <x:c r="L117" s="62"/>
      <x:c r="M117" s="62"/>
      <x:c r="N117" s="62"/>
      <x:c r="O117" s="64"/>
      <x:c r="P117" s="64"/>
    </x:row>
    <x:row r="118">
      <x:c r="A118" s="61"/>
      <x:c r="B118" s="64"/>
      <x:c r="C118" s="62"/>
      <x:c r="D118" s="62"/>
      <x:c r="E118" s="62"/>
      <x:c r="F118" s="62"/>
      <x:c r="G118" s="62"/>
      <x:c r="H118" s="64"/>
      <x:c r="I118" s="64"/>
      <x:c r="J118" s="64"/>
      <x:c r="K118" s="63"/>
      <x:c r="L118" s="62"/>
      <x:c r="M118" s="62"/>
      <x:c r="N118" s="62"/>
      <x:c r="O118" s="64"/>
      <x:c r="P118" s="64"/>
    </x:row>
    <x:row r="119">
      <x:c r="A119" s="61"/>
      <x:c r="B119" s="64"/>
      <x:c r="C119" s="62"/>
      <x:c r="D119" s="62"/>
      <x:c r="E119" s="62"/>
      <x:c r="F119" s="62"/>
      <x:c r="G119" s="62"/>
      <x:c r="H119" s="64"/>
      <x:c r="I119" s="64"/>
      <x:c r="J119" s="64"/>
      <x:c r="K119" s="63"/>
      <x:c r="L119" s="62"/>
      <x:c r="M119" s="62"/>
      <x:c r="N119" s="62"/>
      <x:c r="O119" s="64"/>
      <x:c r="P119" s="64"/>
    </x:row>
    <x:row r="120">
      <x:c r="A120" s="61"/>
      <x:c r="B120" s="64"/>
      <x:c r="C120" s="62"/>
      <x:c r="D120" s="62"/>
      <x:c r="E120" s="62"/>
      <x:c r="F120" s="62"/>
      <x:c r="G120" s="62"/>
      <x:c r="H120" s="64"/>
      <x:c r="I120" s="64"/>
      <x:c r="J120" s="64"/>
      <x:c r="K120" s="63"/>
      <x:c r="L120" s="62"/>
      <x:c r="M120" s="62"/>
      <x:c r="N120" s="62"/>
      <x:c r="O120" s="64"/>
      <x:c r="P120" s="64"/>
    </x:row>
    <x:row r="121">
      <x:c r="A121" s="61"/>
      <x:c r="B121" s="64"/>
      <x:c r="C121" s="62"/>
      <x:c r="D121" s="62"/>
      <x:c r="E121" s="62"/>
      <x:c r="F121" s="62"/>
      <x:c r="G121" s="62"/>
      <x:c r="H121" s="64"/>
      <x:c r="I121" s="64"/>
      <x:c r="J121" s="64"/>
      <x:c r="K121" s="63"/>
      <x:c r="L121" s="62"/>
      <x:c r="M121" s="62"/>
      <x:c r="N121" s="62"/>
      <x:c r="O121" s="64"/>
      <x:c r="P121" s="64"/>
    </x:row>
    <x:row r="122">
      <x:c r="A122" s="61"/>
      <x:c r="B122" s="64"/>
      <x:c r="C122" s="62"/>
      <x:c r="D122" s="62"/>
      <x:c r="E122" s="62"/>
      <x:c r="F122" s="62"/>
      <x:c r="G122" s="62"/>
      <x:c r="H122" s="64"/>
      <x:c r="I122" s="64"/>
      <x:c r="J122" s="64"/>
      <x:c r="K122" s="63"/>
      <x:c r="L122" s="62"/>
      <x:c r="M122" s="62"/>
      <x:c r="N122" s="62"/>
      <x:c r="O122" s="64"/>
      <x:c r="P122" s="64"/>
    </x:row>
    <x:row r="123">
      <x:c r="A123" s="61"/>
      <x:c r="B123" s="64"/>
      <x:c r="C123" s="62"/>
      <x:c r="D123" s="62"/>
      <x:c r="E123" s="62"/>
      <x:c r="F123" s="62"/>
      <x:c r="G123" s="62"/>
      <x:c r="H123" s="64"/>
      <x:c r="I123" s="64"/>
      <x:c r="J123" s="64"/>
      <x:c r="K123" s="63"/>
      <x:c r="L123" s="62"/>
      <x:c r="M123" s="62"/>
      <x:c r="N123" s="62"/>
      <x:c r="O123" s="64"/>
      <x:c r="P123" s="64"/>
    </x:row>
    <x:row r="124">
      <x:c r="A124" s="61"/>
      <x:c r="B124" s="64"/>
      <x:c r="C124" s="62"/>
      <x:c r="D124" s="62"/>
      <x:c r="E124" s="62"/>
      <x:c r="F124" s="62"/>
      <x:c r="G124" s="62"/>
      <x:c r="H124" s="64"/>
      <x:c r="I124" s="64"/>
      <x:c r="J124" s="64"/>
      <x:c r="K124" s="63"/>
      <x:c r="L124" s="62"/>
      <x:c r="M124" s="62"/>
      <x:c r="N124" s="62"/>
      <x:c r="O124" s="64"/>
      <x:c r="P124" s="64"/>
    </x:row>
    <x:row r="125">
      <x:c r="A125" s="61"/>
      <x:c r="B125" s="64"/>
      <x:c r="C125" s="62"/>
      <x:c r="D125" s="62"/>
      <x:c r="E125" s="62"/>
      <x:c r="F125" s="62"/>
      <x:c r="G125" s="62"/>
      <x:c r="H125" s="64"/>
      <x:c r="I125" s="64"/>
      <x:c r="J125" s="64"/>
      <x:c r="K125" s="63"/>
      <x:c r="L125" s="62"/>
      <x:c r="M125" s="62"/>
      <x:c r="N125" s="62"/>
      <x:c r="O125" s="64"/>
      <x:c r="P125" s="64"/>
    </x:row>
    <x:row r="126">
      <x:c r="A126" s="61"/>
      <x:c r="B126" s="64"/>
      <x:c r="C126" s="62"/>
      <x:c r="D126" s="62"/>
      <x:c r="E126" s="62"/>
      <x:c r="F126" s="62"/>
      <x:c r="G126" s="62"/>
      <x:c r="H126" s="64"/>
      <x:c r="I126" s="64"/>
      <x:c r="J126" s="64"/>
      <x:c r="K126" s="63"/>
      <x:c r="L126" s="62"/>
      <x:c r="M126" s="62"/>
      <x:c r="N126" s="62"/>
      <x:c r="O126" s="64"/>
      <x:c r="P126" s="64"/>
    </x:row>
    <x:row r="127">
      <x:c r="A127" s="61"/>
      <x:c r="B127" s="64"/>
      <x:c r="C127" s="62"/>
      <x:c r="D127" s="62"/>
      <x:c r="E127" s="62"/>
      <x:c r="F127" s="62"/>
      <x:c r="G127" s="62"/>
      <x:c r="H127" s="64"/>
      <x:c r="I127" s="64"/>
      <x:c r="J127" s="64"/>
      <x:c r="K127" s="63"/>
      <x:c r="L127" s="62"/>
      <x:c r="M127" s="62"/>
      <x:c r="N127" s="62"/>
      <x:c r="O127" s="64"/>
      <x:c r="P127" s="64"/>
    </x:row>
    <x:row r="128">
      <x:c r="A128" s="61"/>
      <x:c r="B128" s="64"/>
      <x:c r="C128" s="62"/>
      <x:c r="D128" s="62"/>
      <x:c r="E128" s="62"/>
      <x:c r="F128" s="62"/>
      <x:c r="G128" s="62"/>
      <x:c r="H128" s="64"/>
      <x:c r="I128" s="64"/>
      <x:c r="J128" s="64"/>
      <x:c r="K128" s="63"/>
      <x:c r="L128" s="62"/>
      <x:c r="M128" s="62"/>
      <x:c r="N128" s="62"/>
      <x:c r="O128" s="64"/>
      <x:c r="P128" s="64"/>
    </x:row>
    <x:row r="129">
      <x:c r="A129" s="61"/>
      <x:c r="B129" s="64"/>
      <x:c r="C129" s="62"/>
      <x:c r="D129" s="62"/>
      <x:c r="E129" s="62"/>
      <x:c r="F129" s="62"/>
      <x:c r="G129" s="62"/>
      <x:c r="H129" s="64"/>
      <x:c r="I129" s="64"/>
      <x:c r="J129" s="64"/>
      <x:c r="K129" s="63"/>
      <x:c r="L129" s="62"/>
      <x:c r="M129" s="62"/>
      <x:c r="N129" s="62"/>
      <x:c r="O129" s="64"/>
      <x:c r="P129" s="64"/>
    </x:row>
    <x:row r="130">
      <x:c r="A130" s="61"/>
      <x:c r="B130" s="64"/>
      <x:c r="C130" s="62"/>
      <x:c r="D130" s="62"/>
      <x:c r="E130" s="62"/>
      <x:c r="F130" s="62"/>
      <x:c r="G130" s="62"/>
      <x:c r="H130" s="64"/>
      <x:c r="I130" s="64"/>
      <x:c r="J130" s="64"/>
      <x:c r="K130" s="63"/>
      <x:c r="L130" s="62"/>
      <x:c r="M130" s="62"/>
      <x:c r="N130" s="62"/>
      <x:c r="O130" s="64"/>
      <x:c r="P130" s="64"/>
    </x:row>
    <x:row r="131">
      <x:c r="A131" s="61"/>
      <x:c r="B131" s="64"/>
      <x:c r="C131" s="62"/>
      <x:c r="D131" s="62"/>
      <x:c r="E131" s="62"/>
      <x:c r="F131" s="62"/>
      <x:c r="G131" s="62"/>
      <x:c r="H131" s="64"/>
      <x:c r="I131" s="64"/>
      <x:c r="J131" s="64"/>
      <x:c r="K131" s="63"/>
      <x:c r="L131" s="62"/>
      <x:c r="M131" s="62"/>
      <x:c r="N131" s="62"/>
      <x:c r="O131" s="64"/>
      <x:c r="P131" s="64"/>
    </x:row>
    <x:row r="132">
      <x:c r="A132" s="61"/>
      <x:c r="B132" s="64"/>
      <x:c r="C132" s="62"/>
      <x:c r="D132" s="62"/>
      <x:c r="E132" s="62"/>
      <x:c r="F132" s="62"/>
      <x:c r="G132" s="62"/>
      <x:c r="H132" s="64"/>
      <x:c r="I132" s="64"/>
      <x:c r="J132" s="64"/>
      <x:c r="K132" s="63"/>
      <x:c r="L132" s="62"/>
      <x:c r="M132" s="62"/>
      <x:c r="N132" s="62"/>
      <x:c r="O132" s="64"/>
      <x:c r="P132" s="64"/>
    </x:row>
    <x:row r="133">
      <x:c r="A133" s="61"/>
      <x:c r="B133" s="64"/>
      <x:c r="C133" s="62"/>
      <x:c r="D133" s="62"/>
      <x:c r="E133" s="62"/>
      <x:c r="F133" s="62"/>
      <x:c r="G133" s="62"/>
      <x:c r="H133" s="64"/>
      <x:c r="I133" s="64"/>
      <x:c r="J133" s="64"/>
      <x:c r="K133" s="63"/>
      <x:c r="L133" s="62"/>
      <x:c r="M133" s="62"/>
      <x:c r="N133" s="62"/>
      <x:c r="O133" s="64"/>
      <x:c r="P133" s="64"/>
    </x:row>
    <x:row r="134">
      <x:c r="A134" s="61"/>
      <x:c r="B134" s="64"/>
      <x:c r="C134" s="62"/>
      <x:c r="D134" s="62"/>
      <x:c r="E134" s="62"/>
      <x:c r="F134" s="62"/>
      <x:c r="G134" s="62"/>
      <x:c r="H134" s="64"/>
      <x:c r="I134" s="64"/>
      <x:c r="J134" s="64"/>
      <x:c r="K134" s="63"/>
      <x:c r="L134" s="62"/>
      <x:c r="M134" s="62"/>
      <x:c r="N134" s="62"/>
      <x:c r="O134" s="64"/>
      <x:c r="P134" s="64"/>
    </x:row>
    <x:row r="135">
      <x:c r="A135" s="61"/>
      <x:c r="B135" s="64"/>
      <x:c r="C135" s="62"/>
      <x:c r="D135" s="62"/>
      <x:c r="E135" s="62"/>
      <x:c r="F135" s="62"/>
      <x:c r="G135" s="62"/>
      <x:c r="H135" s="64"/>
      <x:c r="I135" s="64"/>
      <x:c r="J135" s="64"/>
      <x:c r="K135" s="63"/>
      <x:c r="L135" s="62"/>
      <x:c r="M135" s="62"/>
      <x:c r="N135" s="62"/>
      <x:c r="O135" s="64"/>
      <x:c r="P135" s="64"/>
    </x:row>
    <x:row r="136">
      <x:c r="A136" s="61"/>
      <x:c r="B136" s="64"/>
      <x:c r="C136" s="62"/>
      <x:c r="D136" s="62"/>
      <x:c r="E136" s="62"/>
      <x:c r="F136" s="62"/>
      <x:c r="G136" s="62"/>
      <x:c r="H136" s="64"/>
      <x:c r="I136" s="64"/>
      <x:c r="J136" s="64"/>
      <x:c r="K136" s="63"/>
      <x:c r="L136" s="62"/>
      <x:c r="M136" s="62"/>
      <x:c r="N136" s="62"/>
      <x:c r="O136" s="64"/>
      <x:c r="P136" s="64"/>
    </x:row>
    <x:row r="137">
      <x:c r="A137" s="61"/>
      <x:c r="B137" s="64"/>
      <x:c r="C137" s="62"/>
      <x:c r="D137" s="62"/>
      <x:c r="E137" s="62"/>
      <x:c r="F137" s="62"/>
      <x:c r="G137" s="62"/>
      <x:c r="H137" s="64"/>
      <x:c r="I137" s="64"/>
      <x:c r="J137" s="64"/>
      <x:c r="K137" s="63"/>
      <x:c r="L137" s="62"/>
      <x:c r="M137" s="62"/>
      <x:c r="N137" s="62"/>
      <x:c r="O137" s="64"/>
      <x:c r="P137" s="64"/>
    </x:row>
    <x:row r="138">
      <x:c r="A138" s="61"/>
      <x:c r="B138" s="64"/>
      <x:c r="C138" s="62"/>
      <x:c r="D138" s="62"/>
      <x:c r="E138" s="62"/>
      <x:c r="F138" s="62"/>
      <x:c r="G138" s="62"/>
      <x:c r="H138" s="64"/>
      <x:c r="I138" s="64"/>
      <x:c r="J138" s="64"/>
      <x:c r="K138" s="63"/>
      <x:c r="L138" s="62"/>
      <x:c r="M138" s="62"/>
      <x:c r="N138" s="62"/>
      <x:c r="O138" s="64"/>
      <x:c r="P138" s="64"/>
    </x:row>
    <x:row r="139">
      <x:c r="A139" s="61"/>
      <x:c r="B139" s="64"/>
      <x:c r="C139" s="62"/>
      <x:c r="D139" s="62"/>
      <x:c r="E139" s="62"/>
      <x:c r="F139" s="62"/>
      <x:c r="G139" s="62"/>
      <x:c r="H139" s="64"/>
      <x:c r="I139" s="64"/>
      <x:c r="J139" s="64"/>
      <x:c r="K139" s="63"/>
      <x:c r="L139" s="62"/>
      <x:c r="M139" s="62"/>
      <x:c r="N139" s="62"/>
      <x:c r="O139" s="64"/>
      <x:c r="P139" s="64"/>
    </x:row>
    <x:row r="140">
      <x:c r="A140" s="61"/>
      <x:c r="B140" s="64"/>
      <x:c r="C140" s="62"/>
      <x:c r="D140" s="62"/>
      <x:c r="E140" s="62"/>
      <x:c r="F140" s="62"/>
      <x:c r="G140" s="62"/>
      <x:c r="H140" s="64"/>
      <x:c r="I140" s="64"/>
      <x:c r="J140" s="64"/>
      <x:c r="K140" s="63"/>
      <x:c r="L140" s="62"/>
      <x:c r="M140" s="62"/>
      <x:c r="N140" s="62"/>
      <x:c r="O140" s="64"/>
      <x:c r="P140" s="64"/>
    </x:row>
    <x:row r="141">
      <x:c r="A141" s="61"/>
      <x:c r="B141" s="64"/>
      <x:c r="C141" s="62"/>
      <x:c r="D141" s="62"/>
      <x:c r="E141" s="62"/>
      <x:c r="F141" s="62"/>
      <x:c r="G141" s="62"/>
      <x:c r="H141" s="64"/>
      <x:c r="I141" s="64"/>
      <x:c r="J141" s="64"/>
      <x:c r="K141" s="63"/>
      <x:c r="L141" s="62"/>
      <x:c r="M141" s="62"/>
      <x:c r="N141" s="62"/>
      <x:c r="O141" s="64"/>
      <x:c r="P141" s="64"/>
    </x:row>
    <x:row r="142">
      <x:c r="A142" s="61"/>
      <x:c r="B142" s="64"/>
      <x:c r="C142" s="62"/>
      <x:c r="D142" s="62"/>
      <x:c r="E142" s="62"/>
      <x:c r="F142" s="62"/>
      <x:c r="G142" s="62"/>
      <x:c r="H142" s="64"/>
      <x:c r="I142" s="64"/>
      <x:c r="J142" s="64"/>
      <x:c r="K142" s="63"/>
      <x:c r="L142" s="62"/>
      <x:c r="M142" s="62"/>
      <x:c r="N142" s="62"/>
      <x:c r="O142" s="64"/>
      <x:c r="P142" s="64"/>
    </x:row>
    <x:row r="143">
      <x:c r="A143" s="61"/>
      <x:c r="B143" s="64"/>
      <x:c r="C143" s="62"/>
      <x:c r="D143" s="62"/>
      <x:c r="E143" s="62"/>
      <x:c r="F143" s="62"/>
      <x:c r="G143" s="62"/>
      <x:c r="H143" s="64"/>
      <x:c r="I143" s="64"/>
      <x:c r="J143" s="64"/>
      <x:c r="K143" s="63"/>
      <x:c r="L143" s="62"/>
      <x:c r="M143" s="62"/>
      <x:c r="N143" s="62"/>
      <x:c r="O143" s="64"/>
      <x:c r="P143" s="64"/>
    </x:row>
    <x:row r="144">
      <x:c r="A144" s="61"/>
      <x:c r="B144" s="64"/>
      <x:c r="C144" s="62"/>
      <x:c r="D144" s="62"/>
      <x:c r="E144" s="62"/>
      <x:c r="F144" s="62"/>
      <x:c r="G144" s="62"/>
      <x:c r="H144" s="64"/>
      <x:c r="I144" s="64"/>
      <x:c r="J144" s="64"/>
      <x:c r="K144" s="63"/>
      <x:c r="L144" s="62"/>
      <x:c r="M144" s="62"/>
      <x:c r="N144" s="62"/>
      <x:c r="O144" s="64"/>
      <x:c r="P144" s="64"/>
    </x:row>
    <x:row r="145">
      <x:c r="A145" s="61"/>
      <x:c r="B145" s="64"/>
      <x:c r="C145" s="62"/>
      <x:c r="D145" s="62"/>
      <x:c r="E145" s="62"/>
      <x:c r="F145" s="62"/>
      <x:c r="G145" s="62"/>
      <x:c r="H145" s="64"/>
      <x:c r="I145" s="64"/>
      <x:c r="J145" s="64"/>
      <x:c r="K145" s="63"/>
      <x:c r="L145" s="62"/>
      <x:c r="M145" s="62"/>
      <x:c r="N145" s="62"/>
      <x:c r="O145" s="64"/>
      <x:c r="P145" s="64"/>
    </x:row>
    <x:row r="146">
      <x:c r="A146" s="61"/>
      <x:c r="B146" s="64"/>
      <x:c r="C146" s="62"/>
      <x:c r="D146" s="62"/>
      <x:c r="E146" s="62"/>
      <x:c r="F146" s="62"/>
      <x:c r="G146" s="62"/>
      <x:c r="H146" s="64"/>
      <x:c r="I146" s="64"/>
      <x:c r="J146" s="64"/>
      <x:c r="K146" s="63"/>
      <x:c r="L146" s="62"/>
      <x:c r="M146" s="62"/>
      <x:c r="N146" s="62"/>
      <x:c r="O146" s="64"/>
      <x:c r="P146" s="64"/>
    </x:row>
    <x:row r="147">
      <x:c r="A147" s="61"/>
      <x:c r="B147" s="64"/>
      <x:c r="C147" s="62"/>
      <x:c r="D147" s="62"/>
      <x:c r="E147" s="62"/>
      <x:c r="F147" s="62"/>
      <x:c r="G147" s="62"/>
      <x:c r="H147" s="64"/>
      <x:c r="I147" s="64"/>
      <x:c r="J147" s="64"/>
      <x:c r="K147" s="63"/>
      <x:c r="L147" s="62"/>
      <x:c r="M147" s="62"/>
      <x:c r="N147" s="62"/>
      <x:c r="O147" s="64"/>
      <x:c r="P147" s="64"/>
    </x:row>
    <x:row r="148">
      <x:c r="A148" s="61"/>
      <x:c r="B148" s="64"/>
      <x:c r="C148" s="62"/>
      <x:c r="D148" s="62"/>
      <x:c r="E148" s="62"/>
      <x:c r="F148" s="62"/>
      <x:c r="G148" s="62"/>
      <x:c r="H148" s="64"/>
      <x:c r="I148" s="64"/>
      <x:c r="J148" s="64"/>
      <x:c r="K148" s="63"/>
      <x:c r="L148" s="62"/>
      <x:c r="M148" s="62"/>
      <x:c r="N148" s="62"/>
      <x:c r="O148" s="64"/>
      <x:c r="P148" s="64"/>
    </x:row>
    <x:row r="149">
      <x:c r="A149" s="61"/>
      <x:c r="B149" s="64"/>
      <x:c r="C149" s="62"/>
      <x:c r="D149" s="62"/>
      <x:c r="E149" s="62"/>
      <x:c r="F149" s="62"/>
      <x:c r="G149" s="62"/>
      <x:c r="H149" s="64"/>
      <x:c r="I149" s="64"/>
      <x:c r="J149" s="64"/>
      <x:c r="K149" s="63"/>
      <x:c r="L149" s="62"/>
      <x:c r="M149" s="62"/>
      <x:c r="N149" s="62"/>
      <x:c r="O149" s="64"/>
      <x:c r="P149" s="64"/>
    </x:row>
    <x:row r="150">
      <x:c r="A150" s="61"/>
      <x:c r="B150" s="64"/>
      <x:c r="C150" s="62"/>
      <x:c r="D150" s="62"/>
      <x:c r="E150" s="62"/>
      <x:c r="F150" s="62"/>
      <x:c r="G150" s="62"/>
      <x:c r="H150" s="64"/>
      <x:c r="I150" s="64"/>
      <x:c r="J150" s="64"/>
      <x:c r="K150" s="63"/>
      <x:c r="L150" s="62"/>
      <x:c r="M150" s="62"/>
      <x:c r="N150" s="62"/>
      <x:c r="O150" s="64"/>
      <x:c r="P150" s="64"/>
    </x:row>
    <x:row r="151">
      <x:c r="A151" s="61"/>
      <x:c r="B151" s="64"/>
      <x:c r="C151" s="62"/>
      <x:c r="D151" s="62"/>
      <x:c r="E151" s="62"/>
      <x:c r="F151" s="62"/>
      <x:c r="G151" s="62"/>
      <x:c r="H151" s="64"/>
      <x:c r="I151" s="64"/>
      <x:c r="J151" s="64"/>
      <x:c r="K151" s="63"/>
      <x:c r="L151" s="62"/>
      <x:c r="M151" s="62"/>
      <x:c r="N151" s="62"/>
      <x:c r="O151" s="64"/>
      <x:c r="P151" s="64"/>
    </x:row>
    <x:row r="152">
      <x:c r="A152" s="61"/>
      <x:c r="B152" s="64"/>
      <x:c r="C152" s="62"/>
      <x:c r="D152" s="62"/>
      <x:c r="E152" s="62"/>
      <x:c r="F152" s="62"/>
      <x:c r="G152" s="62"/>
      <x:c r="H152" s="64"/>
      <x:c r="I152" s="64"/>
      <x:c r="J152" s="64"/>
      <x:c r="K152" s="63"/>
      <x:c r="L152" s="62"/>
      <x:c r="M152" s="62"/>
      <x:c r="N152" s="62"/>
      <x:c r="O152" s="64"/>
      <x:c r="P152" s="64"/>
    </x:row>
    <x:row r="153">
      <x:c r="A153" s="61"/>
      <x:c r="B153" s="64"/>
      <x:c r="C153" s="62"/>
      <x:c r="D153" s="62"/>
      <x:c r="E153" s="62"/>
      <x:c r="F153" s="62"/>
      <x:c r="G153" s="62"/>
      <x:c r="H153" s="64"/>
      <x:c r="I153" s="64"/>
      <x:c r="J153" s="64"/>
      <x:c r="K153" s="63"/>
      <x:c r="L153" s="62"/>
      <x:c r="M153" s="62"/>
      <x:c r="N153" s="62"/>
      <x:c r="O153" s="64"/>
      <x:c r="P153" s="64"/>
    </x:row>
    <x:row r="154">
      <x:c r="A154" s="61"/>
      <x:c r="B154" s="64"/>
      <x:c r="C154" s="62"/>
      <x:c r="D154" s="62"/>
      <x:c r="E154" s="62"/>
      <x:c r="F154" s="62"/>
      <x:c r="G154" s="62"/>
      <x:c r="H154" s="64"/>
      <x:c r="I154" s="64"/>
      <x:c r="J154" s="64"/>
      <x:c r="K154" s="63"/>
      <x:c r="L154" s="62"/>
      <x:c r="M154" s="62"/>
      <x:c r="N154" s="62"/>
      <x:c r="O154" s="64"/>
      <x:c r="P154" s="64"/>
    </x:row>
    <x:row r="155">
      <x:c r="A155" s="61"/>
      <x:c r="B155" s="64"/>
      <x:c r="C155" s="62"/>
      <x:c r="D155" s="62"/>
      <x:c r="E155" s="62"/>
      <x:c r="F155" s="62"/>
      <x:c r="G155" s="62"/>
      <x:c r="H155" s="64"/>
      <x:c r="I155" s="64"/>
      <x:c r="J155" s="64"/>
      <x:c r="K155" s="63"/>
      <x:c r="L155" s="62"/>
      <x:c r="M155" s="62"/>
      <x:c r="N155" s="62"/>
      <x:c r="O155" s="64"/>
      <x:c r="P155" s="64"/>
    </x:row>
    <x:row r="156">
      <x:c r="A156" s="61"/>
      <x:c r="B156" s="64"/>
      <x:c r="C156" s="62"/>
      <x:c r="D156" s="62"/>
      <x:c r="E156" s="62"/>
      <x:c r="F156" s="62"/>
      <x:c r="G156" s="62"/>
      <x:c r="H156" s="64"/>
      <x:c r="I156" s="64"/>
      <x:c r="J156" s="64"/>
      <x:c r="K156" s="63"/>
      <x:c r="L156" s="62"/>
      <x:c r="M156" s="62"/>
      <x:c r="N156" s="62"/>
      <x:c r="O156" s="64"/>
      <x:c r="P156" s="64"/>
    </x:row>
    <x:row r="157">
      <x:c r="A157" s="61"/>
      <x:c r="B157" s="64"/>
      <x:c r="C157" s="62"/>
      <x:c r="D157" s="62"/>
      <x:c r="E157" s="62"/>
      <x:c r="F157" s="62"/>
      <x:c r="G157" s="62"/>
      <x:c r="H157" s="64"/>
      <x:c r="I157" s="64"/>
      <x:c r="J157" s="64"/>
      <x:c r="K157" s="63"/>
      <x:c r="L157" s="62"/>
      <x:c r="M157" s="62"/>
      <x:c r="N157" s="62"/>
      <x:c r="O157" s="64"/>
      <x:c r="P157" s="64"/>
    </x:row>
    <x:row r="158">
      <x:c r="A158" s="61"/>
      <x:c r="B158" s="64"/>
      <x:c r="C158" s="62"/>
      <x:c r="D158" s="62"/>
      <x:c r="E158" s="62"/>
      <x:c r="F158" s="62"/>
      <x:c r="G158" s="62"/>
      <x:c r="H158" s="64"/>
      <x:c r="I158" s="64"/>
      <x:c r="J158" s="64"/>
      <x:c r="K158" s="63"/>
      <x:c r="L158" s="62"/>
      <x:c r="M158" s="62"/>
      <x:c r="N158" s="62"/>
      <x:c r="O158" s="64"/>
      <x:c r="P158" s="64"/>
    </x:row>
    <x:row r="159">
      <x:c r="A159" s="61"/>
      <x:c r="B159" s="64"/>
      <x:c r="C159" s="62"/>
      <x:c r="D159" s="62"/>
      <x:c r="E159" s="62"/>
      <x:c r="F159" s="62"/>
      <x:c r="G159" s="62"/>
      <x:c r="H159" s="64"/>
      <x:c r="I159" s="64"/>
      <x:c r="J159" s="64"/>
      <x:c r="K159" s="63"/>
      <x:c r="L159" s="62"/>
      <x:c r="M159" s="62"/>
      <x:c r="N159" s="62"/>
      <x:c r="O159" s="64"/>
      <x:c r="P159" s="64"/>
    </x:row>
    <x:row r="160">
      <x:c r="A160" s="61"/>
      <x:c r="B160" s="64"/>
      <x:c r="C160" s="62"/>
      <x:c r="D160" s="62"/>
      <x:c r="E160" s="62"/>
      <x:c r="F160" s="62"/>
      <x:c r="G160" s="62"/>
      <x:c r="H160" s="64"/>
      <x:c r="I160" s="64"/>
      <x:c r="J160" s="64"/>
      <x:c r="K160" s="63"/>
      <x:c r="L160" s="62"/>
      <x:c r="M160" s="62"/>
      <x:c r="N160" s="62"/>
      <x:c r="O160" s="64"/>
      <x:c r="P160" s="64"/>
    </x:row>
    <x:row r="161">
      <x:c r="A161" s="61"/>
      <x:c r="B161" s="64"/>
      <x:c r="C161" s="62"/>
      <x:c r="D161" s="62"/>
      <x:c r="E161" s="62"/>
      <x:c r="F161" s="62"/>
      <x:c r="G161" s="62"/>
      <x:c r="H161" s="64"/>
      <x:c r="I161" s="64"/>
      <x:c r="J161" s="64"/>
      <x:c r="K161" s="63"/>
      <x:c r="L161" s="62"/>
      <x:c r="M161" s="62"/>
      <x:c r="N161" s="62"/>
      <x:c r="O161" s="64"/>
      <x:c r="P161" s="64"/>
    </x:row>
    <x:row r="162">
      <x:c r="A162" s="61"/>
      <x:c r="B162" s="64"/>
      <x:c r="C162" s="62"/>
      <x:c r="D162" s="62"/>
      <x:c r="E162" s="62"/>
      <x:c r="F162" s="62"/>
      <x:c r="G162" s="62"/>
      <x:c r="H162" s="64"/>
      <x:c r="I162" s="64"/>
      <x:c r="J162" s="64"/>
      <x:c r="K162" s="63"/>
      <x:c r="L162" s="62"/>
      <x:c r="M162" s="62"/>
      <x:c r="N162" s="62"/>
      <x:c r="O162" s="64"/>
      <x:c r="P162" s="64"/>
    </x:row>
    <x:row r="163">
      <x:c r="A163" s="61"/>
      <x:c r="B163" s="64"/>
      <x:c r="C163" s="62"/>
      <x:c r="D163" s="62"/>
      <x:c r="E163" s="62"/>
      <x:c r="F163" s="62"/>
      <x:c r="G163" s="62"/>
      <x:c r="H163" s="64"/>
      <x:c r="I163" s="64"/>
      <x:c r="J163" s="64"/>
      <x:c r="K163" s="63"/>
      <x:c r="L163" s="62"/>
      <x:c r="M163" s="62"/>
      <x:c r="N163" s="62"/>
      <x:c r="O163" s="64"/>
      <x:c r="P163" s="64"/>
    </x:row>
    <x:row r="164">
      <x:c r="A164" s="61"/>
      <x:c r="B164" s="64"/>
      <x:c r="C164" s="62"/>
      <x:c r="D164" s="62"/>
      <x:c r="E164" s="62"/>
      <x:c r="F164" s="62"/>
      <x:c r="G164" s="62"/>
      <x:c r="H164" s="64"/>
      <x:c r="I164" s="64"/>
      <x:c r="J164" s="64"/>
      <x:c r="K164" s="63"/>
      <x:c r="L164" s="62"/>
      <x:c r="M164" s="62"/>
      <x:c r="N164" s="62"/>
      <x:c r="O164" s="64"/>
      <x:c r="P164" s="64"/>
    </x:row>
    <x:row r="165">
      <x:c r="A165" s="61"/>
      <x:c r="B165" s="64"/>
      <x:c r="C165" s="62"/>
      <x:c r="D165" s="62"/>
      <x:c r="E165" s="62"/>
      <x:c r="F165" s="62"/>
      <x:c r="G165" s="62"/>
      <x:c r="H165" s="64"/>
      <x:c r="I165" s="64"/>
      <x:c r="J165" s="64"/>
      <x:c r="K165" s="63"/>
      <x:c r="L165" s="62"/>
      <x:c r="M165" s="62"/>
      <x:c r="N165" s="62"/>
      <x:c r="O165" s="64"/>
      <x:c r="P165" s="64"/>
    </x:row>
    <x:row r="166">
      <x:c r="A166" s="61"/>
      <x:c r="B166" s="64"/>
      <x:c r="C166" s="62"/>
      <x:c r="D166" s="62"/>
      <x:c r="E166" s="62"/>
      <x:c r="F166" s="62"/>
      <x:c r="G166" s="62"/>
      <x:c r="H166" s="64"/>
      <x:c r="I166" s="64"/>
      <x:c r="J166" s="64"/>
      <x:c r="K166" s="63"/>
      <x:c r="L166" s="62"/>
      <x:c r="M166" s="62"/>
      <x:c r="N166" s="62"/>
      <x:c r="O166" s="64"/>
      <x:c r="P166" s="64"/>
    </x:row>
    <x:row r="167">
      <x:c r="A167" s="61"/>
      <x:c r="B167" s="64"/>
      <x:c r="C167" s="62"/>
      <x:c r="D167" s="62"/>
      <x:c r="E167" s="62"/>
      <x:c r="F167" s="62"/>
      <x:c r="G167" s="62"/>
      <x:c r="H167" s="64"/>
      <x:c r="I167" s="64"/>
      <x:c r="J167" s="64"/>
      <x:c r="K167" s="63"/>
      <x:c r="L167" s="62"/>
      <x:c r="M167" s="62"/>
      <x:c r="N167" s="62"/>
      <x:c r="O167" s="64"/>
      <x:c r="P167" s="64"/>
    </x:row>
    <x:row r="168">
      <x:c r="A168" s="61"/>
      <x:c r="B168" s="64"/>
      <x:c r="C168" s="62"/>
      <x:c r="D168" s="62"/>
      <x:c r="E168" s="62"/>
      <x:c r="F168" s="62"/>
      <x:c r="G168" s="62"/>
      <x:c r="H168" s="64"/>
      <x:c r="I168" s="64"/>
      <x:c r="J168" s="64"/>
      <x:c r="K168" s="63"/>
      <x:c r="L168" s="62"/>
      <x:c r="M168" s="62"/>
      <x:c r="N168" s="62"/>
      <x:c r="O168" s="64"/>
      <x:c r="P168" s="64"/>
    </x:row>
    <x:row r="169">
      <x:c r="A169" s="61"/>
      <x:c r="B169" s="64"/>
      <x:c r="C169" s="62"/>
      <x:c r="D169" s="62"/>
      <x:c r="E169" s="62"/>
      <x:c r="F169" s="62"/>
      <x:c r="G169" s="62"/>
      <x:c r="H169" s="64"/>
      <x:c r="I169" s="64"/>
      <x:c r="J169" s="64"/>
      <x:c r="K169" s="63"/>
      <x:c r="L169" s="62"/>
      <x:c r="M169" s="62"/>
      <x:c r="N169" s="62"/>
      <x:c r="O169" s="64"/>
      <x:c r="P169" s="64"/>
    </x:row>
    <x:row r="170">
      <x:c r="A170" s="61"/>
      <x:c r="B170" s="64"/>
      <x:c r="C170" s="62"/>
      <x:c r="D170" s="62"/>
      <x:c r="E170" s="62"/>
      <x:c r="F170" s="62"/>
      <x:c r="G170" s="62"/>
      <x:c r="H170" s="64"/>
      <x:c r="I170" s="64"/>
      <x:c r="J170" s="64"/>
      <x:c r="K170" s="63"/>
      <x:c r="L170" s="62"/>
      <x:c r="M170" s="62"/>
      <x:c r="N170" s="62"/>
      <x:c r="O170" s="64"/>
      <x:c r="P170" s="64"/>
    </x:row>
    <x:row r="171">
      <x:c r="A171" s="61"/>
      <x:c r="B171" s="64"/>
      <x:c r="C171" s="62"/>
      <x:c r="D171" s="62"/>
      <x:c r="E171" s="62"/>
      <x:c r="F171" s="62"/>
      <x:c r="G171" s="62"/>
      <x:c r="H171" s="64"/>
      <x:c r="I171" s="64"/>
      <x:c r="J171" s="64"/>
      <x:c r="K171" s="63"/>
      <x:c r="L171" s="62"/>
      <x:c r="M171" s="62"/>
      <x:c r="N171" s="62"/>
      <x:c r="O171" s="64"/>
      <x:c r="P171" s="64"/>
    </x:row>
    <x:row r="172">
      <x:c r="A172" s="61"/>
      <x:c r="B172" s="64"/>
      <x:c r="C172" s="62"/>
      <x:c r="D172" s="62"/>
      <x:c r="E172" s="62"/>
      <x:c r="F172" s="62"/>
      <x:c r="G172" s="62"/>
      <x:c r="H172" s="64"/>
      <x:c r="I172" s="64"/>
      <x:c r="J172" s="64"/>
      <x:c r="K172" s="63"/>
      <x:c r="L172" s="62"/>
      <x:c r="M172" s="62"/>
      <x:c r="N172" s="62"/>
      <x:c r="O172" s="64"/>
      <x:c r="P172" s="64"/>
    </x:row>
    <x:row r="173">
      <x:c r="A173" s="61"/>
      <x:c r="B173" s="64"/>
      <x:c r="C173" s="62"/>
      <x:c r="D173" s="62"/>
      <x:c r="E173" s="62"/>
      <x:c r="F173" s="62"/>
      <x:c r="G173" s="62"/>
      <x:c r="H173" s="64"/>
      <x:c r="I173" s="64"/>
      <x:c r="J173" s="64"/>
      <x:c r="K173" s="63"/>
      <x:c r="L173" s="62"/>
      <x:c r="M173" s="62"/>
      <x:c r="N173" s="62"/>
      <x:c r="O173" s="64"/>
      <x:c r="P173" s="64"/>
    </x:row>
    <x:row r="174">
      <x:c r="A174" s="61"/>
      <x:c r="B174" s="64"/>
      <x:c r="C174" s="62"/>
      <x:c r="D174" s="62"/>
      <x:c r="E174" s="62"/>
      <x:c r="F174" s="62"/>
      <x:c r="G174" s="62"/>
      <x:c r="H174" s="64"/>
      <x:c r="I174" s="64"/>
      <x:c r="J174" s="64"/>
      <x:c r="K174" s="63"/>
      <x:c r="L174" s="62"/>
      <x:c r="M174" s="62"/>
      <x:c r="N174" s="62"/>
      <x:c r="O174" s="64"/>
      <x:c r="P174" s="64"/>
    </x:row>
    <x:row r="175">
      <x:c r="A175" s="61"/>
      <x:c r="B175" s="64"/>
      <x:c r="C175" s="62"/>
      <x:c r="D175" s="62"/>
      <x:c r="E175" s="62"/>
      <x:c r="F175" s="62"/>
      <x:c r="G175" s="62"/>
      <x:c r="H175" s="64"/>
      <x:c r="I175" s="64"/>
      <x:c r="J175" s="64"/>
      <x:c r="K175" s="63"/>
      <x:c r="L175" s="62"/>
      <x:c r="M175" s="62"/>
      <x:c r="N175" s="62"/>
      <x:c r="O175" s="64"/>
      <x:c r="P175" s="64"/>
    </x:row>
    <x:row r="176">
      <x:c r="A176" s="61"/>
      <x:c r="B176" s="64"/>
      <x:c r="C176" s="62"/>
      <x:c r="D176" s="62"/>
      <x:c r="E176" s="62"/>
      <x:c r="F176" s="62"/>
      <x:c r="G176" s="62"/>
      <x:c r="H176" s="64"/>
      <x:c r="I176" s="64"/>
      <x:c r="J176" s="64"/>
      <x:c r="K176" s="63"/>
      <x:c r="L176" s="62"/>
      <x:c r="M176" s="62"/>
      <x:c r="N176" s="62"/>
      <x:c r="O176" s="64"/>
      <x:c r="P176" s="64"/>
    </x:row>
    <x:row r="177">
      <x:c r="A177" s="61"/>
      <x:c r="B177" s="64"/>
      <x:c r="C177" s="62"/>
      <x:c r="D177" s="62"/>
      <x:c r="E177" s="62"/>
      <x:c r="F177" s="62"/>
      <x:c r="G177" s="62"/>
      <x:c r="H177" s="64"/>
      <x:c r="I177" s="64"/>
      <x:c r="J177" s="64"/>
      <x:c r="K177" s="63"/>
      <x:c r="L177" s="62"/>
      <x:c r="M177" s="62"/>
      <x:c r="N177" s="62"/>
      <x:c r="O177" s="64"/>
      <x:c r="P177" s="64"/>
    </x:row>
    <x:row r="178">
      <x:c r="A178" s="61"/>
      <x:c r="B178" s="64"/>
      <x:c r="C178" s="62"/>
      <x:c r="D178" s="62"/>
      <x:c r="E178" s="62"/>
      <x:c r="F178" s="62"/>
      <x:c r="G178" s="62"/>
      <x:c r="H178" s="64"/>
      <x:c r="I178" s="64"/>
      <x:c r="J178" s="64"/>
      <x:c r="K178" s="63"/>
      <x:c r="L178" s="62"/>
      <x:c r="M178" s="62"/>
      <x:c r="N178" s="62"/>
      <x:c r="O178" s="64"/>
      <x:c r="P178" s="64"/>
    </x:row>
    <x:row r="179">
      <x:c r="A179" s="61"/>
      <x:c r="B179" s="64"/>
      <x:c r="C179" s="62"/>
      <x:c r="D179" s="62"/>
      <x:c r="E179" s="62"/>
      <x:c r="F179" s="62"/>
      <x:c r="G179" s="62"/>
      <x:c r="H179" s="64"/>
      <x:c r="I179" s="64"/>
      <x:c r="J179" s="64"/>
      <x:c r="K179" s="63"/>
      <x:c r="L179" s="62"/>
      <x:c r="M179" s="62"/>
      <x:c r="N179" s="62"/>
      <x:c r="O179" s="64"/>
      <x:c r="P179" s="64"/>
    </x:row>
    <x:row r="180">
      <x:c r="A180" s="61"/>
      <x:c r="B180" s="64"/>
      <x:c r="C180" s="62"/>
      <x:c r="D180" s="62"/>
      <x:c r="E180" s="62"/>
      <x:c r="F180" s="62"/>
      <x:c r="G180" s="62"/>
      <x:c r="H180" s="64"/>
      <x:c r="I180" s="64"/>
      <x:c r="J180" s="64"/>
      <x:c r="K180" s="63"/>
      <x:c r="L180" s="62"/>
      <x:c r="M180" s="62"/>
      <x:c r="N180" s="62"/>
      <x:c r="O180" s="64"/>
      <x:c r="P180" s="64"/>
    </x:row>
    <x:row r="181">
      <x:c r="A181" s="61"/>
      <x:c r="B181" s="64"/>
      <x:c r="C181" s="62"/>
      <x:c r="D181" s="62"/>
      <x:c r="E181" s="62"/>
      <x:c r="F181" s="62"/>
      <x:c r="G181" s="62"/>
      <x:c r="H181" s="64"/>
      <x:c r="I181" s="64"/>
      <x:c r="J181" s="64"/>
      <x:c r="K181" s="63"/>
      <x:c r="L181" s="62"/>
      <x:c r="M181" s="62"/>
      <x:c r="N181" s="62"/>
      <x:c r="O181" s="64"/>
      <x:c r="P181" s="64"/>
    </x:row>
    <x:row r="182">
      <x:c r="A182" s="61"/>
      <x:c r="B182" s="64"/>
      <x:c r="C182" s="62"/>
      <x:c r="D182" s="62"/>
      <x:c r="E182" s="62"/>
      <x:c r="F182" s="62"/>
      <x:c r="G182" s="62"/>
      <x:c r="H182" s="64"/>
      <x:c r="I182" s="64"/>
      <x:c r="J182" s="64"/>
      <x:c r="K182" s="63"/>
      <x:c r="L182" s="62"/>
      <x:c r="M182" s="62"/>
      <x:c r="N182" s="62"/>
      <x:c r="O182" s="64"/>
      <x:c r="P182" s="64"/>
    </x:row>
    <x:row r="183">
      <x:c r="A183" s="61"/>
      <x:c r="B183" s="64"/>
      <x:c r="C183" s="62"/>
      <x:c r="D183" s="62"/>
      <x:c r="E183" s="62"/>
      <x:c r="F183" s="62"/>
      <x:c r="G183" s="62"/>
      <x:c r="H183" s="64"/>
      <x:c r="I183" s="64"/>
      <x:c r="J183" s="64"/>
      <x:c r="K183" s="63"/>
      <x:c r="L183" s="62"/>
      <x:c r="M183" s="62"/>
      <x:c r="N183" s="62"/>
      <x:c r="O183" s="64"/>
      <x:c r="P183" s="64"/>
    </x:row>
    <x:row r="184">
      <x:c r="A184" s="61"/>
      <x:c r="B184" s="64"/>
      <x:c r="C184" s="62"/>
      <x:c r="D184" s="62"/>
      <x:c r="E184" s="62"/>
      <x:c r="F184" s="62"/>
      <x:c r="G184" s="62"/>
      <x:c r="H184" s="64"/>
      <x:c r="I184" s="64"/>
      <x:c r="J184" s="64"/>
      <x:c r="K184" s="63"/>
      <x:c r="L184" s="62"/>
      <x:c r="M184" s="62"/>
      <x:c r="N184" s="62"/>
      <x:c r="O184" s="64"/>
      <x:c r="P184" s="64"/>
    </x:row>
    <x:row r="185">
      <x:c r="A185" s="61"/>
      <x:c r="B185" s="64"/>
      <x:c r="C185" s="62"/>
      <x:c r="D185" s="62"/>
      <x:c r="E185" s="62"/>
      <x:c r="F185" s="62"/>
      <x:c r="G185" s="62"/>
      <x:c r="H185" s="64"/>
      <x:c r="I185" s="64"/>
      <x:c r="J185" s="64"/>
      <x:c r="K185" s="63"/>
      <x:c r="L185" s="62"/>
      <x:c r="M185" s="62"/>
      <x:c r="N185" s="62"/>
      <x:c r="O185" s="64"/>
      <x:c r="P185" s="64"/>
    </x:row>
    <x:row r="186">
      <x:c r="A186" s="61"/>
      <x:c r="B186" s="64"/>
      <x:c r="C186" s="62"/>
      <x:c r="D186" s="62"/>
      <x:c r="E186" s="62"/>
      <x:c r="F186" s="62"/>
      <x:c r="G186" s="62"/>
      <x:c r="H186" s="64"/>
      <x:c r="I186" s="64"/>
      <x:c r="J186" s="64"/>
      <x:c r="K186" s="63"/>
      <x:c r="L186" s="62"/>
      <x:c r="M186" s="62"/>
      <x:c r="N186" s="62"/>
      <x:c r="O186" s="64"/>
      <x:c r="P186" s="64"/>
    </x:row>
    <x:row r="187">
      <x:c r="A187" s="61"/>
      <x:c r="B187" s="64"/>
      <x:c r="C187" s="62"/>
      <x:c r="D187" s="62"/>
      <x:c r="E187" s="62"/>
      <x:c r="F187" s="62"/>
      <x:c r="G187" s="62"/>
      <x:c r="H187" s="64"/>
      <x:c r="I187" s="64"/>
      <x:c r="J187" s="64"/>
      <x:c r="K187" s="63"/>
      <x:c r="L187" s="62"/>
      <x:c r="M187" s="62"/>
      <x:c r="N187" s="62"/>
      <x:c r="O187" s="64"/>
      <x:c r="P187" s="64"/>
    </x:row>
    <x:row r="188">
      <x:c r="A188" s="61"/>
      <x:c r="B188" s="64"/>
      <x:c r="C188" s="62"/>
      <x:c r="D188" s="62"/>
      <x:c r="E188" s="62"/>
      <x:c r="F188" s="62"/>
      <x:c r="G188" s="62"/>
      <x:c r="H188" s="64"/>
      <x:c r="I188" s="64"/>
      <x:c r="J188" s="64"/>
      <x:c r="K188" s="63"/>
      <x:c r="L188" s="62"/>
      <x:c r="M188" s="62"/>
      <x:c r="N188" s="62"/>
      <x:c r="O188" s="64"/>
      <x:c r="P188" s="64"/>
    </x:row>
    <x:row r="189">
      <x:c r="A189" s="61"/>
      <x:c r="B189" s="64"/>
      <x:c r="C189" s="62"/>
      <x:c r="D189" s="62"/>
      <x:c r="E189" s="62"/>
      <x:c r="F189" s="62"/>
      <x:c r="G189" s="62"/>
      <x:c r="H189" s="64"/>
      <x:c r="I189" s="64"/>
      <x:c r="J189" s="64"/>
      <x:c r="K189" s="63"/>
      <x:c r="L189" s="62"/>
      <x:c r="M189" s="62"/>
      <x:c r="N189" s="62"/>
      <x:c r="O189" s="64"/>
      <x:c r="P189" s="64"/>
    </x:row>
    <x:row r="190">
      <x:c r="A190" s="61"/>
      <x:c r="B190" s="64"/>
      <x:c r="C190" s="62"/>
      <x:c r="D190" s="62"/>
      <x:c r="E190" s="62"/>
      <x:c r="F190" s="62"/>
      <x:c r="G190" s="62"/>
      <x:c r="H190" s="64"/>
      <x:c r="I190" s="64"/>
      <x:c r="J190" s="64"/>
      <x:c r="K190" s="63"/>
      <x:c r="L190" s="62"/>
      <x:c r="M190" s="62"/>
      <x:c r="N190" s="62"/>
      <x:c r="O190" s="64"/>
      <x:c r="P190" s="64"/>
    </x:row>
    <x:row r="191">
      <x:c r="A191" s="61"/>
      <x:c r="B191" s="64"/>
      <x:c r="C191" s="62"/>
      <x:c r="D191" s="62"/>
      <x:c r="E191" s="62"/>
      <x:c r="F191" s="62"/>
      <x:c r="G191" s="62"/>
      <x:c r="H191" s="64"/>
      <x:c r="I191" s="64"/>
      <x:c r="J191" s="64"/>
      <x:c r="K191" s="63"/>
      <x:c r="L191" s="62"/>
      <x:c r="M191" s="62"/>
      <x:c r="N191" s="62"/>
      <x:c r="O191" s="64"/>
      <x:c r="P191" s="64"/>
    </x:row>
    <x:row r="192">
      <x:c r="A192" s="61"/>
      <x:c r="B192" s="64"/>
      <x:c r="C192" s="62"/>
      <x:c r="D192" s="62"/>
      <x:c r="E192" s="62"/>
      <x:c r="F192" s="62"/>
      <x:c r="G192" s="62"/>
      <x:c r="H192" s="64"/>
      <x:c r="I192" s="64"/>
      <x:c r="J192" s="64"/>
      <x:c r="K192" s="63"/>
      <x:c r="L192" s="62"/>
      <x:c r="M192" s="62"/>
      <x:c r="N192" s="62"/>
      <x:c r="O192" s="64"/>
      <x:c r="P192" s="64"/>
    </x:row>
    <x:row r="193">
      <x:c r="A193" s="61"/>
      <x:c r="B193" s="64"/>
      <x:c r="C193" s="62"/>
      <x:c r="D193" s="62"/>
      <x:c r="E193" s="62"/>
      <x:c r="F193" s="62"/>
      <x:c r="G193" s="62"/>
      <x:c r="H193" s="64"/>
      <x:c r="I193" s="64"/>
      <x:c r="J193" s="64"/>
      <x:c r="K193" s="63"/>
      <x:c r="L193" s="62"/>
      <x:c r="M193" s="62"/>
      <x:c r="N193" s="62"/>
      <x:c r="O193" s="64"/>
      <x:c r="P193" s="64"/>
    </x:row>
    <x:row r="194">
      <x:c r="A194" s="61"/>
      <x:c r="B194" s="64"/>
      <x:c r="C194" s="62"/>
      <x:c r="D194" s="62"/>
      <x:c r="E194" s="62"/>
      <x:c r="F194" s="62"/>
      <x:c r="G194" s="62"/>
      <x:c r="H194" s="64"/>
      <x:c r="I194" s="64"/>
      <x:c r="J194" s="64"/>
      <x:c r="K194" s="63"/>
      <x:c r="L194" s="62"/>
      <x:c r="M194" s="62"/>
      <x:c r="N194" s="62"/>
      <x:c r="O194" s="64"/>
      <x:c r="P194" s="64"/>
    </x:row>
    <x:row r="195">
      <x:c r="A195" s="61"/>
      <x:c r="B195" s="64"/>
      <x:c r="C195" s="62"/>
      <x:c r="D195" s="62"/>
      <x:c r="E195" s="62"/>
      <x:c r="F195" s="62"/>
      <x:c r="G195" s="62"/>
      <x:c r="H195" s="64"/>
      <x:c r="I195" s="64"/>
      <x:c r="J195" s="64"/>
      <x:c r="K195" s="63"/>
      <x:c r="L195" s="62"/>
      <x:c r="M195" s="62"/>
      <x:c r="N195" s="62"/>
      <x:c r="O195" s="64"/>
      <x:c r="P195" s="64"/>
    </x:row>
    <x:row r="196">
      <x:c r="A196" s="61"/>
      <x:c r="B196" s="64"/>
      <x:c r="C196" s="62"/>
      <x:c r="D196" s="62"/>
      <x:c r="E196" s="62"/>
      <x:c r="F196" s="62"/>
      <x:c r="G196" s="62"/>
      <x:c r="H196" s="64"/>
      <x:c r="I196" s="64"/>
      <x:c r="J196" s="64"/>
      <x:c r="K196" s="63"/>
      <x:c r="L196" s="62"/>
      <x:c r="M196" s="62"/>
      <x:c r="N196" s="62"/>
      <x:c r="O196" s="64"/>
      <x:c r="P196" s="64"/>
    </x:row>
    <x:row r="197">
      <x:c r="A197" s="61"/>
      <x:c r="B197" s="64"/>
      <x:c r="C197" s="62"/>
      <x:c r="D197" s="62"/>
      <x:c r="E197" s="62"/>
      <x:c r="F197" s="62"/>
      <x:c r="G197" s="62"/>
      <x:c r="H197" s="64"/>
      <x:c r="I197" s="64"/>
      <x:c r="J197" s="64"/>
      <x:c r="K197" s="63"/>
      <x:c r="L197" s="62"/>
      <x:c r="M197" s="62"/>
      <x:c r="N197" s="62"/>
      <x:c r="O197" s="64"/>
      <x:c r="P197" s="64"/>
    </x:row>
    <x:row r="198">
      <x:c r="A198" s="61"/>
      <x:c r="B198" s="64"/>
      <x:c r="C198" s="62"/>
      <x:c r="D198" s="62"/>
      <x:c r="E198" s="62"/>
      <x:c r="F198" s="62"/>
      <x:c r="G198" s="62"/>
      <x:c r="H198" s="64"/>
      <x:c r="I198" s="64"/>
      <x:c r="J198" s="64"/>
      <x:c r="K198" s="63"/>
      <x:c r="L198" s="62"/>
      <x:c r="M198" s="62"/>
      <x:c r="N198" s="62"/>
      <x:c r="O198" s="64"/>
      <x:c r="P198" s="64"/>
    </x:row>
    <x:row r="199">
      <x:c r="A199" s="61"/>
      <x:c r="B199" s="64"/>
      <x:c r="C199" s="62"/>
      <x:c r="D199" s="62"/>
      <x:c r="E199" s="62"/>
      <x:c r="F199" s="62"/>
      <x:c r="G199" s="62"/>
      <x:c r="H199" s="64"/>
      <x:c r="I199" s="64"/>
      <x:c r="J199" s="64"/>
      <x:c r="K199" s="63"/>
      <x:c r="L199" s="62"/>
      <x:c r="M199" s="62"/>
      <x:c r="N199" s="62"/>
      <x:c r="O199" s="64"/>
      <x:c r="P199" s="64"/>
    </x:row>
    <x:row r="200">
      <x:c r="A200" s="61"/>
      <x:c r="B200" s="64"/>
      <x:c r="C200" s="62"/>
      <x:c r="D200" s="62"/>
      <x:c r="E200" s="62"/>
      <x:c r="F200" s="62"/>
      <x:c r="G200" s="62"/>
      <x:c r="H200" s="64"/>
      <x:c r="I200" s="64"/>
      <x:c r="J200" s="64"/>
      <x:c r="K200" s="63"/>
      <x:c r="L200" s="62"/>
      <x:c r="M200" s="62"/>
      <x:c r="N200" s="62"/>
      <x:c r="O200" s="64"/>
      <x:c r="P200" s="64"/>
    </x:row>
    <x:row r="201">
      <x:c r="A201" s="61"/>
      <x:c r="B201" s="64"/>
      <x:c r="C201" s="62"/>
      <x:c r="D201" s="62"/>
      <x:c r="E201" s="62"/>
      <x:c r="F201" s="62"/>
      <x:c r="G201" s="62"/>
      <x:c r="H201" s="64"/>
      <x:c r="I201" s="64"/>
      <x:c r="J201" s="64"/>
      <x:c r="K201" s="63"/>
      <x:c r="L201" s="62"/>
      <x:c r="M201" s="62"/>
      <x:c r="N201" s="62"/>
      <x:c r="O201" s="64"/>
      <x:c r="P201" s="64"/>
    </x:row>
    <x:row r="202">
      <x:c r="A202" s="61"/>
      <x:c r="B202" s="64"/>
      <x:c r="C202" s="62"/>
      <x:c r="D202" s="62"/>
      <x:c r="E202" s="62"/>
      <x:c r="F202" s="62"/>
      <x:c r="G202" s="62"/>
      <x:c r="H202" s="64"/>
      <x:c r="I202" s="64"/>
      <x:c r="J202" s="64"/>
      <x:c r="K202" s="63"/>
      <x:c r="L202" s="62"/>
      <x:c r="M202" s="62"/>
      <x:c r="N202" s="62"/>
      <x:c r="O202" s="64"/>
      <x:c r="P202" s="64"/>
    </x:row>
    <x:row r="203">
      <x:c r="A203" s="61"/>
      <x:c r="B203" s="64"/>
      <x:c r="C203" s="62"/>
      <x:c r="D203" s="62"/>
      <x:c r="E203" s="62"/>
      <x:c r="F203" s="62"/>
      <x:c r="G203" s="62"/>
      <x:c r="H203" s="64"/>
      <x:c r="I203" s="64"/>
      <x:c r="J203" s="64"/>
      <x:c r="K203" s="63"/>
      <x:c r="L203" s="62"/>
      <x:c r="M203" s="62"/>
      <x:c r="N203" s="62"/>
      <x:c r="O203" s="64"/>
      <x:c r="P203" s="64"/>
    </x:row>
    <x:row r="204">
      <x:c r="A204" s="61"/>
      <x:c r="B204" s="64"/>
      <x:c r="C204" s="62"/>
      <x:c r="D204" s="62"/>
      <x:c r="E204" s="62"/>
      <x:c r="F204" s="62"/>
      <x:c r="G204" s="62"/>
      <x:c r="H204" s="64"/>
      <x:c r="I204" s="64"/>
      <x:c r="J204" s="64"/>
      <x:c r="K204" s="63"/>
      <x:c r="L204" s="62"/>
      <x:c r="M204" s="62"/>
      <x:c r="N204" s="62"/>
      <x:c r="O204" s="64"/>
      <x:c r="P204" s="64"/>
    </x:row>
  </x:sheetData>
  <x:mergeCells>
    <x:mergeCell ref="A1:P1"/>
    <x:mergeCell ref="A2:P2"/>
  </x:mergeCells>
  <x:dataValidations count="4">
    <x:dataValidation type="list" sqref="G5:G204">
      <x:formula1>"user-input,government,regulator,filing,prospectus,company-ir,trade-body,research,app-data,traffic-data,media"</x:formula1>
    </x:dataValidation>
    <x:dataValidation type="list" sqref="L5:L204">
      <x:formula1>"Yes,No"</x:formula1>
    </x:dataValidation>
    <x:dataValidation type="list" sqref="M5:M204">
      <x:formula1>"High,Medium,Low"</x:formula1>
    </x:dataValidation>
    <x:dataValidation type="list" sqref="N5:N204">
      <x:formula1>"reported,user_input"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22" hidden="0" customWidth="1"/>
    <x:col min="6" max="6" width="24" hidden="0" customWidth="1"/>
    <x:col min="7" max="7" width="18" hidden="0" customWidth="1"/>
    <x:col min="8" max="8" width="22" hidden="0" customWidth="1"/>
  </x:cols>
  <x:sheetData>
    <x:row r="1" ht="34" customHeight="1">
      <x:c r="A1" s="4" t="str">
        <x:v>04｜市场结构</x:v>
      </x:c>
      <x:c r="B1" s="4"/>
      <x:c r="C1" s="4"/>
      <x:c r="D1" s="4"/>
      <x:c r="E1" s="4"/>
      <x:c r="F1" s="4"/>
      <x:c r="G1" s="4"/>
      <x:c r="H1" s="4"/>
    </x:row>
    <x:row r="2" ht="25" customHeight="1">
      <x:c r="A2" s="7" t="str">
        <x:v>先穷举需求、地区、渠道和市场模块，再处理模块重叠与边界。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9" t="str">
        <x:v>用户与需求结构</x:v>
      </x:c>
      <x:c r="B4" s="9"/>
      <x:c r="C4" s="9"/>
      <x:c r="D4" s="9"/>
      <x:c r="E4" s="9"/>
      <x:c r="F4" s="9"/>
      <x:c r="G4" s="9"/>
      <x:c r="H4" s="9"/>
    </x:row>
    <x:row r="5" ht="30" customHeight="1">
      <x:c r="A5" s="39" t="str">
        <x:v>用户/需求细分</x:v>
      </x:c>
      <x:c r="B5" s="40" t="str">
        <x:v>核心任务</x:v>
      </x:c>
      <x:c r="C5" s="40" t="str">
        <x:v>计量对象</x:v>
      </x:c>
      <x:c r="D5" s="40" t="str">
        <x:v>购买者</x:v>
      </x:c>
      <x:c r="E5" s="40" t="str">
        <x:v>代表产品</x:v>
      </x:c>
      <x:c r="F5" s="40" t="str">
        <x:v>变现模式</x:v>
      </x:c>
      <x:c r="G5" s="40" t="str">
        <x:v>结构特征</x:v>
      </x:c>
      <x:c r="H5" s="40" t="str">
        <x:v>来源 IDs</x:v>
      </x:c>
    </x:row>
    <x:row r="6">
      <x:c r="A6" s="67"/>
      <x:c r="B6" s="68"/>
      <x:c r="C6" s="68"/>
      <x:c r="D6" s="68"/>
      <x:c r="E6" s="68"/>
      <x:c r="F6" s="68"/>
      <x:c r="G6" s="68"/>
      <x:c r="H6" s="68"/>
    </x:row>
    <x:row r="7">
      <x:c r="A7" s="67"/>
      <x:c r="B7" s="68"/>
      <x:c r="C7" s="68"/>
      <x:c r="D7" s="68"/>
      <x:c r="E7" s="68"/>
      <x:c r="F7" s="68"/>
      <x:c r="G7" s="68"/>
      <x:c r="H7" s="68"/>
    </x:row>
    <x:row r="8">
      <x:c r="A8" s="67"/>
      <x:c r="B8" s="68"/>
      <x:c r="C8" s="68"/>
      <x:c r="D8" s="68"/>
      <x:c r="E8" s="68"/>
      <x:c r="F8" s="68"/>
      <x:c r="G8" s="68"/>
      <x:c r="H8" s="68"/>
    </x:row>
    <x:row r="9">
      <x:c r="A9" s="67"/>
      <x:c r="B9" s="68"/>
      <x:c r="C9" s="68"/>
      <x:c r="D9" s="68"/>
      <x:c r="E9" s="68"/>
      <x:c r="F9" s="68"/>
      <x:c r="G9" s="68"/>
      <x:c r="H9" s="68"/>
    </x:row>
    <x:row r="10">
      <x:c r="A10" s="67"/>
      <x:c r="B10" s="68"/>
      <x:c r="C10" s="68"/>
      <x:c r="D10" s="68"/>
      <x:c r="E10" s="68"/>
      <x:c r="F10" s="68"/>
      <x:c r="G10" s="68"/>
      <x:c r="H10" s="68"/>
    </x:row>
    <x:row r="11">
      <x:c r="A11" s="67"/>
      <x:c r="B11" s="68"/>
      <x:c r="C11" s="68"/>
      <x:c r="D11" s="68"/>
      <x:c r="E11" s="68"/>
      <x:c r="F11" s="68"/>
      <x:c r="G11" s="68"/>
      <x:c r="H11" s="68"/>
    </x:row>
    <x:row r="12">
      <x:c r="A12" s="67"/>
      <x:c r="B12" s="68"/>
      <x:c r="C12" s="68"/>
      <x:c r="D12" s="68"/>
      <x:c r="E12" s="68"/>
      <x:c r="F12" s="68"/>
      <x:c r="G12" s="68"/>
      <x:c r="H12" s="68"/>
    </x:row>
    <x:row r="13">
      <x:c r="A13" s="67"/>
      <x:c r="B13" s="68"/>
      <x:c r="C13" s="68"/>
      <x:c r="D13" s="68"/>
      <x:c r="E13" s="68"/>
      <x:c r="F13" s="68"/>
      <x:c r="G13" s="68"/>
      <x:c r="H13" s="68"/>
    </x:row>
    <x:row r="14">
      <x:c r="A14" s="67"/>
      <x:c r="B14" s="68"/>
      <x:c r="C14" s="68"/>
      <x:c r="D14" s="68"/>
      <x:c r="E14" s="68"/>
      <x:c r="F14" s="68"/>
      <x:c r="G14" s="68"/>
      <x:c r="H14" s="68"/>
    </x:row>
    <x:row r="15">
      <x:c r="A15" s="67"/>
      <x:c r="B15" s="68"/>
      <x:c r="C15" s="68"/>
      <x:c r="D15" s="68"/>
      <x:c r="E15" s="68"/>
      <x:c r="F15" s="68"/>
      <x:c r="G15" s="68"/>
      <x:c r="H15" s="68"/>
    </x:row>
    <x:row r="16">
      <x:c r="A16" s="67"/>
      <x:c r="B16" s="68"/>
      <x:c r="C16" s="68"/>
      <x:c r="D16" s="68"/>
      <x:c r="E16" s="68"/>
      <x:c r="F16" s="68"/>
      <x:c r="G16" s="68"/>
      <x:c r="H16" s="68"/>
    </x:row>
    <x:row r="17">
      <x:c r="A17" s="67"/>
      <x:c r="B17" s="68"/>
      <x:c r="C17" s="68"/>
      <x:c r="D17" s="68"/>
      <x:c r="E17" s="68"/>
      <x:c r="F17" s="68"/>
      <x:c r="G17" s="68"/>
      <x:c r="H17" s="68"/>
    </x:row>
    <x:row r="18">
      <x:c r="A18" s="67"/>
      <x:c r="B18" s="68"/>
      <x:c r="C18" s="68"/>
      <x:c r="D18" s="68"/>
      <x:c r="E18" s="68"/>
      <x:c r="F18" s="68"/>
      <x:c r="G18" s="68"/>
      <x:c r="H18" s="68"/>
    </x:row>
    <x:row r="19">
      <x:c r="A19" s="67"/>
      <x:c r="B19" s="68"/>
      <x:c r="C19" s="68"/>
      <x:c r="D19" s="68"/>
      <x:c r="E19" s="68"/>
      <x:c r="F19" s="68"/>
      <x:c r="G19" s="68"/>
      <x:c r="H19" s="68"/>
    </x:row>
    <x:row r="20">
      <x:c r="A20" s="67"/>
      <x:c r="B20" s="68"/>
      <x:c r="C20" s="68"/>
      <x:c r="D20" s="68"/>
      <x:c r="E20" s="68"/>
      <x:c r="F20" s="68"/>
      <x:c r="G20" s="68"/>
      <x:c r="H20" s="68"/>
    </x:row>
    <x:row r="21">
      <x:c r="A21" s="11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 ht="22" customHeight="1">
      <x:c r="A23" s="69" t="str">
        <x:v>地区结构</x:v>
      </x:c>
      <x:c r="B23" s="69"/>
      <x:c r="C23" s="69"/>
      <x:c r="D23" s="69"/>
      <x:c r="E23" s="69"/>
      <x:c r="F23" s="69"/>
      <x:c r="G23" s="69"/>
      <x:c r="H23" s="69"/>
    </x:row>
    <x:row r="24" ht="30" customHeight="1">
      <x:c r="A24" s="39" t="str">
        <x:v>地区</x:v>
      </x:c>
      <x:c r="B24" s="40" t="str">
        <x:v>收入占比假设</x:v>
      </x:c>
      <x:c r="C24" s="40" t="str">
        <x:v>专业/企业占比</x:v>
      </x:c>
      <x:c r="D24" s="40" t="str">
        <x:v>支付能力</x:v>
      </x:c>
      <x:c r="E24" s="40" t="str">
        <x:v>基准增速</x:v>
      </x:c>
      <x:c r="F24" s="40" t="str">
        <x:v>结构判断</x:v>
      </x:c>
      <x:c r="G24" s="40" t="str">
        <x:v>SAM处理</x:v>
      </x:c>
      <x:c r="H24" s="40" t="str">
        <x:v>来源 IDs</x:v>
      </x:c>
    </x:row>
    <x:row r="25">
      <x:c r="A25" s="67"/>
      <x:c r="B25" s="68"/>
      <x:c r="C25" s="68"/>
      <x:c r="D25" s="68"/>
      <x:c r="E25" s="68"/>
      <x:c r="F25" s="68"/>
      <x:c r="G25" s="68"/>
      <x:c r="H25" s="68"/>
    </x:row>
    <x:row r="26">
      <x:c r="A26" s="67"/>
      <x:c r="B26" s="68"/>
      <x:c r="C26" s="68"/>
      <x:c r="D26" s="68"/>
      <x:c r="E26" s="68"/>
      <x:c r="F26" s="68"/>
      <x:c r="G26" s="68"/>
      <x:c r="H26" s="68"/>
    </x:row>
    <x:row r="27">
      <x:c r="A27" s="67"/>
      <x:c r="B27" s="68"/>
      <x:c r="C27" s="68"/>
      <x:c r="D27" s="68"/>
      <x:c r="E27" s="68"/>
      <x:c r="F27" s="68"/>
      <x:c r="G27" s="68"/>
      <x:c r="H27" s="68"/>
    </x:row>
    <x:row r="28">
      <x:c r="A28" s="67"/>
      <x:c r="B28" s="68"/>
      <x:c r="C28" s="68"/>
      <x:c r="D28" s="68"/>
      <x:c r="E28" s="68"/>
      <x:c r="F28" s="68"/>
      <x:c r="G28" s="68"/>
      <x:c r="H28" s="68"/>
    </x:row>
    <x:row r="29">
      <x:c r="A29" s="67"/>
      <x:c r="B29" s="68"/>
      <x:c r="C29" s="68"/>
      <x:c r="D29" s="68"/>
      <x:c r="E29" s="68"/>
      <x:c r="F29" s="68"/>
      <x:c r="G29" s="68"/>
      <x:c r="H29" s="68"/>
    </x:row>
    <x:row r="30">
      <x:c r="A30" s="67"/>
      <x:c r="B30" s="68"/>
      <x:c r="C30" s="68"/>
      <x:c r="D30" s="68"/>
      <x:c r="E30" s="68"/>
      <x:c r="F30" s="68"/>
      <x:c r="G30" s="68"/>
      <x:c r="H30" s="68"/>
    </x:row>
    <x:row r="31">
      <x:c r="A31" s="67"/>
      <x:c r="B31" s="68"/>
      <x:c r="C31" s="68"/>
      <x:c r="D31" s="68"/>
      <x:c r="E31" s="68"/>
      <x:c r="F31" s="68"/>
      <x:c r="G31" s="68"/>
      <x:c r="H31" s="68"/>
    </x:row>
    <x:row r="32">
      <x:c r="A32" s="67"/>
      <x:c r="B32" s="68"/>
      <x:c r="C32" s="68"/>
      <x:c r="D32" s="68"/>
      <x:c r="E32" s="68"/>
      <x:c r="F32" s="68"/>
      <x:c r="G32" s="68"/>
      <x:c r="H32" s="68"/>
    </x:row>
    <x:row r="33">
      <x:c r="A33" s="67"/>
      <x:c r="B33" s="68"/>
      <x:c r="C33" s="68"/>
      <x:c r="D33" s="68"/>
      <x:c r="E33" s="68"/>
      <x:c r="F33" s="68"/>
      <x:c r="G33" s="68"/>
      <x:c r="H33" s="68"/>
    </x:row>
    <x:row r="34">
      <x:c r="A34" s="67"/>
      <x:c r="B34" s="68"/>
      <x:c r="C34" s="68"/>
      <x:c r="D34" s="68"/>
      <x:c r="E34" s="68"/>
      <x:c r="F34" s="68"/>
      <x:c r="G34" s="68"/>
      <x:c r="H34" s="68"/>
    </x:row>
    <x:row r="35">
      <x:c r="A35" s="67"/>
      <x:c r="B35" s="68"/>
      <x:c r="C35" s="68"/>
      <x:c r="D35" s="68"/>
      <x:c r="E35" s="68"/>
      <x:c r="F35" s="68"/>
      <x:c r="G35" s="68"/>
      <x:c r="H35" s="68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 ht="22" customHeight="1">
      <x:c r="A38" s="69" t="str">
        <x:v>市场模块与边界</x:v>
      </x:c>
      <x:c r="B38" s="69"/>
      <x:c r="C38" s="69"/>
      <x:c r="D38" s="69"/>
      <x:c r="E38" s="69"/>
      <x:c r="F38" s="69"/>
      <x:c r="G38" s="69"/>
      <x:c r="H38" s="69"/>
    </x:row>
    <x:row r="39" ht="30" customHeight="1">
      <x:c r="A39" s="39" t="str">
        <x:v>模块</x:v>
      </x:c>
      <x:c r="B39" s="40" t="str">
        <x:v>解决的任务</x:v>
      </x:c>
      <x:c r="C39" s="40" t="str">
        <x:v>收费方式</x:v>
      </x:c>
      <x:c r="D39" s="40" t="str">
        <x:v>代表厂商</x:v>
      </x:c>
      <x:c r="E39" s="40" t="str">
        <x:v>相邻模块</x:v>
      </x:c>
      <x:c r="F39" s="40" t="str">
        <x:v>重叠风险</x:v>
      </x:c>
      <x:c r="G39" s="40" t="str">
        <x:v>本模型处理</x:v>
      </x:c>
      <x:c r="H39" s="40" t="str">
        <x:v>来源 IDs</x:v>
      </x:c>
    </x:row>
    <x:row r="40">
      <x:c r="A40" s="67"/>
      <x:c r="B40" s="68"/>
      <x:c r="C40" s="68"/>
      <x:c r="D40" s="68"/>
      <x:c r="E40" s="68"/>
      <x:c r="F40" s="68"/>
      <x:c r="G40" s="68"/>
      <x:c r="H40" s="68"/>
    </x:row>
    <x:row r="41">
      <x:c r="A41" s="67"/>
      <x:c r="B41" s="68"/>
      <x:c r="C41" s="68"/>
      <x:c r="D41" s="68"/>
      <x:c r="E41" s="68"/>
      <x:c r="F41" s="68"/>
      <x:c r="G41" s="68"/>
      <x:c r="H41" s="68"/>
    </x:row>
    <x:row r="42">
      <x:c r="A42" s="67"/>
      <x:c r="B42" s="68"/>
      <x:c r="C42" s="68"/>
      <x:c r="D42" s="68"/>
      <x:c r="E42" s="68"/>
      <x:c r="F42" s="68"/>
      <x:c r="G42" s="68"/>
      <x:c r="H42" s="68"/>
    </x:row>
    <x:row r="43">
      <x:c r="A43" s="67"/>
      <x:c r="B43" s="68"/>
      <x:c r="C43" s="68"/>
      <x:c r="D43" s="68"/>
      <x:c r="E43" s="68"/>
      <x:c r="F43" s="68"/>
      <x:c r="G43" s="68"/>
      <x:c r="H43" s="68"/>
    </x:row>
    <x:row r="44">
      <x:c r="A44" s="67"/>
      <x:c r="B44" s="68"/>
      <x:c r="C44" s="68"/>
      <x:c r="D44" s="68"/>
      <x:c r="E44" s="68"/>
      <x:c r="F44" s="68"/>
      <x:c r="G44" s="68"/>
      <x:c r="H44" s="68"/>
    </x:row>
    <x:row r="45">
      <x:c r="A45" s="67"/>
      <x:c r="B45" s="68"/>
      <x:c r="C45" s="68"/>
      <x:c r="D45" s="68"/>
      <x:c r="E45" s="68"/>
      <x:c r="F45" s="68"/>
      <x:c r="G45" s="68"/>
      <x:c r="H45" s="68"/>
    </x:row>
    <x:row r="46">
      <x:c r="A46" s="67"/>
      <x:c r="B46" s="68"/>
      <x:c r="C46" s="68"/>
      <x:c r="D46" s="68"/>
      <x:c r="E46" s="68"/>
      <x:c r="F46" s="68"/>
      <x:c r="G46" s="68"/>
      <x:c r="H46" s="68"/>
    </x:row>
    <x:row r="47">
      <x:c r="A47" s="67"/>
      <x:c r="B47" s="68"/>
      <x:c r="C47" s="68"/>
      <x:c r="D47" s="68"/>
      <x:c r="E47" s="68"/>
      <x:c r="F47" s="68"/>
      <x:c r="G47" s="68"/>
      <x:c r="H47" s="68"/>
    </x:row>
    <x:row r="48">
      <x:c r="A48" s="67"/>
      <x:c r="B48" s="68"/>
      <x:c r="C48" s="68"/>
      <x:c r="D48" s="68"/>
      <x:c r="E48" s="68"/>
      <x:c r="F48" s="68"/>
      <x:c r="G48" s="68"/>
      <x:c r="H48" s="68"/>
    </x:row>
    <x:row r="49">
      <x:c r="A49" s="67"/>
      <x:c r="B49" s="68"/>
      <x:c r="C49" s="68"/>
      <x:c r="D49" s="68"/>
      <x:c r="E49" s="68"/>
      <x:c r="F49" s="68"/>
      <x:c r="G49" s="68"/>
      <x:c r="H49" s="68"/>
    </x:row>
    <x:row r="50">
      <x:c r="A50" s="67"/>
      <x:c r="B50" s="68"/>
      <x:c r="C50" s="68"/>
      <x:c r="D50" s="68"/>
      <x:c r="E50" s="68"/>
      <x:c r="F50" s="68"/>
      <x:c r="G50" s="68"/>
      <x:c r="H50" s="68"/>
    </x:row>
    <x:row r="51">
      <x:c r="A51" s="67"/>
      <x:c r="B51" s="68"/>
      <x:c r="C51" s="68"/>
      <x:c r="D51" s="68"/>
      <x:c r="E51" s="68"/>
      <x:c r="F51" s="68"/>
      <x:c r="G51" s="68"/>
      <x:c r="H51" s="68"/>
    </x:row>
    <x:row r="52">
      <x:c r="A52" s="67"/>
      <x:c r="B52" s="68"/>
      <x:c r="C52" s="68"/>
      <x:c r="D52" s="68"/>
      <x:c r="E52" s="68"/>
      <x:c r="F52" s="68"/>
      <x:c r="G52" s="68"/>
      <x:c r="H52" s="68"/>
    </x:row>
    <x:row r="53">
      <x:c r="A53" s="67"/>
      <x:c r="B53" s="68"/>
      <x:c r="C53" s="68"/>
      <x:c r="D53" s="68"/>
      <x:c r="E53" s="68"/>
      <x:c r="F53" s="68"/>
      <x:c r="G53" s="68"/>
      <x:c r="H53" s="68"/>
    </x:row>
    <x:row r="54">
      <x:c r="A54" s="67"/>
      <x:c r="B54" s="68"/>
      <x:c r="C54" s="68"/>
      <x:c r="D54" s="68"/>
      <x:c r="E54" s="68"/>
      <x:c r="F54" s="68"/>
      <x:c r="G54" s="68"/>
      <x:c r="H54" s="68"/>
    </x:row>
    <x:row r="55">
      <x:c r="A55" s="11"/>
      <x:c r="B55" s="11"/>
      <x:c r="C55" s="11"/>
      <x:c r="D55" s="11"/>
      <x:c r="E55" s="11"/>
      <x:c r="F55" s="11"/>
      <x:c r="G55" s="11"/>
      <x:c r="H55" s="11"/>
    </x:row>
    <x:row r="56">
      <x:c r="A56" s="11"/>
      <x:c r="B56" s="11"/>
      <x:c r="C56" s="11"/>
      <x:c r="D56" s="11"/>
      <x:c r="E56" s="11"/>
      <x:c r="F56" s="11"/>
      <x:c r="G56" s="11"/>
      <x:c r="H56" s="11"/>
    </x:row>
    <x:row r="57" ht="22" customHeight="1">
      <x:c r="A57" s="69" t="str">
        <x:v>新增、替代与混合判断</x:v>
      </x:c>
      <x:c r="B57" s="69"/>
      <x:c r="C57" s="69"/>
      <x:c r="D57" s="69"/>
      <x:c r="E57" s="69"/>
      <x:c r="F57" s="69"/>
      <x:c r="G57" s="69"/>
      <x:c r="H57" s="69"/>
    </x:row>
    <x:row r="58" ht="30" customHeight="1">
      <x:c r="A58" s="39" t="str">
        <x:v>需求模块</x:v>
      </x:c>
      <x:c r="B58" s="40" t="str">
        <x:v>被替代/新增对象</x:v>
      </x:c>
      <x:c r="C58" s="40" t="str">
        <x:v>存量替代程度</x:v>
      </x:c>
      <x:c r="D58" s="40" t="str">
        <x:v>增量需求程度</x:v>
      </x:c>
      <x:c r="E58" s="40" t="str">
        <x:v>替代比例假设</x:v>
      </x:c>
      <x:c r="F58" s="40" t="str">
        <x:v>新增比例假设</x:v>
      </x:c>
      <x:c r="G58" s="40" t="str">
        <x:v>公开证据</x:v>
      </x:c>
      <x:c r="H58" s="40" t="str">
        <x:v>判断</x:v>
      </x:c>
    </x:row>
    <x:row r="59">
      <x:c r="A59" s="67"/>
      <x:c r="B59" s="68"/>
      <x:c r="C59" s="68"/>
      <x:c r="D59" s="68"/>
      <x:c r="E59" s="68"/>
      <x:c r="F59" s="68"/>
      <x:c r="G59" s="68"/>
      <x:c r="H59" s="68"/>
    </x:row>
    <x:row r="60">
      <x:c r="A60" s="67"/>
      <x:c r="B60" s="68"/>
      <x:c r="C60" s="68"/>
      <x:c r="D60" s="68"/>
      <x:c r="E60" s="68"/>
      <x:c r="F60" s="68"/>
      <x:c r="G60" s="68"/>
      <x:c r="H60" s="68"/>
    </x:row>
    <x:row r="61">
      <x:c r="A61" s="67"/>
      <x:c r="B61" s="68"/>
      <x:c r="C61" s="68"/>
      <x:c r="D61" s="68"/>
      <x:c r="E61" s="68"/>
      <x:c r="F61" s="68"/>
      <x:c r="G61" s="68"/>
      <x:c r="H61" s="68"/>
    </x:row>
    <x:row r="62">
      <x:c r="A62" s="67"/>
      <x:c r="B62" s="68"/>
      <x:c r="C62" s="68"/>
      <x:c r="D62" s="68"/>
      <x:c r="E62" s="68"/>
      <x:c r="F62" s="68"/>
      <x:c r="G62" s="68"/>
      <x:c r="H62" s="68"/>
    </x:row>
    <x:row r="63">
      <x:c r="A63" s="67"/>
      <x:c r="B63" s="68"/>
      <x:c r="C63" s="68"/>
      <x:c r="D63" s="68"/>
      <x:c r="E63" s="68"/>
      <x:c r="F63" s="68"/>
      <x:c r="G63" s="68"/>
      <x:c r="H63" s="68"/>
    </x:row>
    <x:row r="64">
      <x:c r="A64" s="67"/>
      <x:c r="B64" s="68"/>
      <x:c r="C64" s="68"/>
      <x:c r="D64" s="68"/>
      <x:c r="E64" s="68"/>
      <x:c r="F64" s="68"/>
      <x:c r="G64" s="68"/>
      <x:c r="H64" s="68"/>
    </x:row>
    <x:row r="65">
      <x:c r="A65" s="67"/>
      <x:c r="B65" s="68"/>
      <x:c r="C65" s="68"/>
      <x:c r="D65" s="68"/>
      <x:c r="E65" s="68"/>
      <x:c r="F65" s="68"/>
      <x:c r="G65" s="68"/>
      <x:c r="H65" s="68"/>
    </x:row>
    <x:row r="66">
      <x:c r="A66" s="67"/>
      <x:c r="B66" s="68"/>
      <x:c r="C66" s="68"/>
      <x:c r="D66" s="68"/>
      <x:c r="E66" s="68"/>
      <x:c r="F66" s="68"/>
      <x:c r="G66" s="68"/>
      <x:c r="H66" s="68"/>
    </x:row>
  </x:sheetData>
  <x:mergeCells>
    <x:mergeCell ref="A1:H1"/>
    <x:mergeCell ref="A2:H2"/>
    <x:mergeCell ref="A4:H4"/>
    <x:mergeCell ref="A23:H23"/>
    <x:mergeCell ref="A38:H38"/>
    <x:mergeCell ref="A57:H5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18" hidden="0" customWidth="1"/>
    <x:col min="10" max="10" width="30" hidden="0" customWidth="1"/>
  </x:cols>
  <x:sheetData>
    <x:row r="1" ht="34" customHeight="1">
      <x:c r="A1" s="4" t="str">
        <x:v>05｜需求与经营驱动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7" t="str">
        <x:v>用人口、企业、设备、联网、时长、交易、价格和单位经济等数据解释市场，而不只外推 CAGR。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39" t="str">
        <x:v>驱动指标</x:v>
      </x:c>
      <x:c r="B4" s="40" t="str">
        <x:v>类型</x:v>
      </x:c>
      <x:c r="C4" s="40" t="str">
        <x:v>单位</x:v>
      </x:c>
      <x:c r="D4" s="40" t="str">
        <x:v>地区</x:v>
      </x:c>
      <x:c r="E4" s="40" t="str">
        <x:v>较早期</x:v>
      </x:c>
      <x:c r="F4" s="40" t="str">
        <x:v>上期</x:v>
      </x:c>
      <x:c r="G4" s="40" t="str">
        <x:v>当前/最新</x:v>
      </x:c>
      <x:c r="H4" s="40" t="str">
        <x:v>趋势与因果</x:v>
      </x:c>
      <x:c r="I4" s="40" t="str">
        <x:v>来源 IDs</x:v>
      </x:c>
      <x:c r="J4" s="40" t="str">
        <x:v>预测用途</x:v>
      </x:c>
    </x:row>
    <x:row r="5">
      <x:c r="A5" s="67"/>
      <x:c r="B5" s="68"/>
      <x:c r="C5" s="68"/>
      <x:c r="D5" s="68"/>
      <x:c r="E5" s="68"/>
      <x:c r="F5" s="68"/>
      <x:c r="G5" s="68"/>
      <x:c r="H5" s="68"/>
      <x:c r="I5" s="68"/>
      <x:c r="J5" s="68"/>
    </x:row>
    <x:row r="6">
      <x:c r="A6" s="67"/>
      <x:c r="B6" s="68"/>
      <x:c r="C6" s="68"/>
      <x:c r="D6" s="68"/>
      <x:c r="E6" s="68"/>
      <x:c r="F6" s="68"/>
      <x:c r="G6" s="68"/>
      <x:c r="H6" s="68"/>
      <x:c r="I6" s="68"/>
      <x:c r="J6" s="68"/>
    </x:row>
    <x:row r="7">
      <x:c r="A7" s="67"/>
      <x:c r="B7" s="68"/>
      <x:c r="C7" s="68"/>
      <x:c r="D7" s="68"/>
      <x:c r="E7" s="68"/>
      <x:c r="F7" s="68"/>
      <x:c r="G7" s="68"/>
      <x:c r="H7" s="68"/>
      <x:c r="I7" s="68"/>
      <x:c r="J7" s="68"/>
    </x:row>
    <x:row r="8">
      <x:c r="A8" s="67"/>
      <x:c r="B8" s="68"/>
      <x:c r="C8" s="68"/>
      <x:c r="D8" s="68"/>
      <x:c r="E8" s="68"/>
      <x:c r="F8" s="68"/>
      <x:c r="G8" s="68"/>
      <x:c r="H8" s="68"/>
      <x:c r="I8" s="68"/>
      <x:c r="J8" s="68"/>
    </x:row>
    <x:row r="9">
      <x:c r="A9" s="67"/>
      <x:c r="B9" s="68"/>
      <x:c r="C9" s="68"/>
      <x:c r="D9" s="68"/>
      <x:c r="E9" s="68"/>
      <x:c r="F9" s="68"/>
      <x:c r="G9" s="68"/>
      <x:c r="H9" s="68"/>
      <x:c r="I9" s="68"/>
      <x:c r="J9" s="68"/>
    </x:row>
    <x:row r="10">
      <x:c r="A10" s="67"/>
      <x:c r="B10" s="68"/>
      <x:c r="C10" s="68"/>
      <x:c r="D10" s="68"/>
      <x:c r="E10" s="68"/>
      <x:c r="F10" s="68"/>
      <x:c r="G10" s="68"/>
      <x:c r="H10" s="68"/>
      <x:c r="I10" s="68"/>
      <x:c r="J10" s="68"/>
    </x:row>
    <x:row r="11">
      <x:c r="A11" s="67"/>
      <x:c r="B11" s="68"/>
      <x:c r="C11" s="68"/>
      <x:c r="D11" s="68"/>
      <x:c r="E11" s="68"/>
      <x:c r="F11" s="68"/>
      <x:c r="G11" s="68"/>
      <x:c r="H11" s="68"/>
      <x:c r="I11" s="68"/>
      <x:c r="J11" s="68"/>
    </x:row>
    <x:row r="12">
      <x:c r="A12" s="67"/>
      <x:c r="B12" s="68"/>
      <x:c r="C12" s="68"/>
      <x:c r="D12" s="68"/>
      <x:c r="E12" s="68"/>
      <x:c r="F12" s="68"/>
      <x:c r="G12" s="68"/>
      <x:c r="H12" s="68"/>
      <x:c r="I12" s="68"/>
      <x:c r="J12" s="68"/>
    </x:row>
    <x:row r="13">
      <x:c r="A13" s="67"/>
      <x:c r="B13" s="68"/>
      <x:c r="C13" s="68"/>
      <x:c r="D13" s="68"/>
      <x:c r="E13" s="68"/>
      <x:c r="F13" s="68"/>
      <x:c r="G13" s="68"/>
      <x:c r="H13" s="68"/>
      <x:c r="I13" s="68"/>
      <x:c r="J13" s="68"/>
    </x:row>
    <x:row r="14">
      <x:c r="A14" s="67"/>
      <x:c r="B14" s="68"/>
      <x:c r="C14" s="68"/>
      <x:c r="D14" s="68"/>
      <x:c r="E14" s="68"/>
      <x:c r="F14" s="68"/>
      <x:c r="G14" s="68"/>
      <x:c r="H14" s="68"/>
      <x:c r="I14" s="68"/>
      <x:c r="J14" s="68"/>
    </x:row>
    <x:row r="15">
      <x:c r="A15" s="67"/>
      <x:c r="B15" s="68"/>
      <x:c r="C15" s="68"/>
      <x:c r="D15" s="68"/>
      <x:c r="E15" s="68"/>
      <x:c r="F15" s="68"/>
      <x:c r="G15" s="68"/>
      <x:c r="H15" s="68"/>
      <x:c r="I15" s="68"/>
      <x:c r="J15" s="68"/>
    </x:row>
    <x:row r="16">
      <x:c r="A16" s="67"/>
      <x:c r="B16" s="68"/>
      <x:c r="C16" s="68"/>
      <x:c r="D16" s="68"/>
      <x:c r="E16" s="68"/>
      <x:c r="F16" s="68"/>
      <x:c r="G16" s="68"/>
      <x:c r="H16" s="68"/>
      <x:c r="I16" s="68"/>
      <x:c r="J16" s="68"/>
    </x:row>
    <x:row r="17">
      <x:c r="A17" s="67"/>
      <x:c r="B17" s="68"/>
      <x:c r="C17" s="68"/>
      <x:c r="D17" s="68"/>
      <x:c r="E17" s="68"/>
      <x:c r="F17" s="68"/>
      <x:c r="G17" s="68"/>
      <x:c r="H17" s="68"/>
      <x:c r="I17" s="68"/>
      <x:c r="J17" s="68"/>
    </x:row>
    <x:row r="18">
      <x:c r="A18" s="67"/>
      <x:c r="B18" s="68"/>
      <x:c r="C18" s="68"/>
      <x:c r="D18" s="68"/>
      <x:c r="E18" s="68"/>
      <x:c r="F18" s="68"/>
      <x:c r="G18" s="68"/>
      <x:c r="H18" s="68"/>
      <x:c r="I18" s="68"/>
      <x:c r="J18" s="68"/>
    </x:row>
    <x:row r="19">
      <x:c r="A19" s="67"/>
      <x:c r="B19" s="68"/>
      <x:c r="C19" s="68"/>
      <x:c r="D19" s="68"/>
      <x:c r="E19" s="68"/>
      <x:c r="F19" s="68"/>
      <x:c r="G19" s="68"/>
      <x:c r="H19" s="68"/>
      <x:c r="I19" s="68"/>
      <x:c r="J19" s="68"/>
    </x:row>
    <x:row r="20">
      <x:c r="A20" s="67"/>
      <x:c r="B20" s="68"/>
      <x:c r="C20" s="68"/>
      <x:c r="D20" s="68"/>
      <x:c r="E20" s="68"/>
      <x:c r="F20" s="68"/>
      <x:c r="G20" s="68"/>
      <x:c r="H20" s="68"/>
      <x:c r="I20" s="68"/>
      <x:c r="J20" s="68"/>
    </x:row>
    <x:row r="21">
      <x:c r="A21" s="67"/>
      <x:c r="B21" s="68"/>
      <x:c r="C21" s="68"/>
      <x:c r="D21" s="68"/>
      <x:c r="E21" s="68"/>
      <x:c r="F21" s="68"/>
      <x:c r="G21" s="68"/>
      <x:c r="H21" s="68"/>
      <x:c r="I21" s="68"/>
      <x:c r="J21" s="68"/>
    </x:row>
    <x:row r="22">
      <x:c r="A22" s="67"/>
      <x:c r="B22" s="68"/>
      <x:c r="C22" s="68"/>
      <x:c r="D22" s="68"/>
      <x:c r="E22" s="68"/>
      <x:c r="F22" s="68"/>
      <x:c r="G22" s="68"/>
      <x:c r="H22" s="68"/>
      <x:c r="I22" s="68"/>
      <x:c r="J22" s="68"/>
    </x:row>
    <x:row r="23">
      <x:c r="A23" s="67"/>
      <x:c r="B23" s="68"/>
      <x:c r="C23" s="68"/>
      <x:c r="D23" s="68"/>
      <x:c r="E23" s="68"/>
      <x:c r="F23" s="68"/>
      <x:c r="G23" s="68"/>
      <x:c r="H23" s="68"/>
      <x:c r="I23" s="68"/>
      <x:c r="J23" s="68"/>
    </x:row>
    <x:row r="24">
      <x:c r="A24" s="67"/>
      <x:c r="B24" s="68"/>
      <x:c r="C24" s="68"/>
      <x:c r="D24" s="68"/>
      <x:c r="E24" s="68"/>
      <x:c r="F24" s="68"/>
      <x:c r="G24" s="68"/>
      <x:c r="H24" s="68"/>
      <x:c r="I24" s="68"/>
      <x:c r="J24" s="68"/>
    </x:row>
    <x:row r="25">
      <x:c r="A25" s="67"/>
      <x:c r="B25" s="68"/>
      <x:c r="C25" s="68"/>
      <x:c r="D25" s="68"/>
      <x:c r="E25" s="68"/>
      <x:c r="F25" s="68"/>
      <x:c r="G25" s="68"/>
      <x:c r="H25" s="68"/>
      <x:c r="I25" s="68"/>
      <x:c r="J25" s="68"/>
    </x:row>
    <x:row r="26">
      <x:c r="A26" s="67"/>
      <x:c r="B26" s="68"/>
      <x:c r="C26" s="68"/>
      <x:c r="D26" s="68"/>
      <x:c r="E26" s="68"/>
      <x:c r="F26" s="68"/>
      <x:c r="G26" s="68"/>
      <x:c r="H26" s="68"/>
      <x:c r="I26" s="68"/>
      <x:c r="J26" s="68"/>
    </x:row>
    <x:row r="27">
      <x:c r="A27" s="67"/>
      <x:c r="B27" s="68"/>
      <x:c r="C27" s="68"/>
      <x:c r="D27" s="68"/>
      <x:c r="E27" s="68"/>
      <x:c r="F27" s="68"/>
      <x:c r="G27" s="68"/>
      <x:c r="H27" s="68"/>
      <x:c r="I27" s="68"/>
      <x:c r="J27" s="68"/>
    </x:row>
    <x:row r="28">
      <x:c r="A28" s="67"/>
      <x:c r="B28" s="68"/>
      <x:c r="C28" s="68"/>
      <x:c r="D28" s="68"/>
      <x:c r="E28" s="68"/>
      <x:c r="F28" s="68"/>
      <x:c r="G28" s="68"/>
      <x:c r="H28" s="68"/>
      <x:c r="I28" s="68"/>
      <x:c r="J28" s="68"/>
    </x:row>
    <x:row r="29">
      <x:c r="A29" s="67"/>
      <x:c r="B29" s="68"/>
      <x:c r="C29" s="68"/>
      <x:c r="D29" s="68"/>
      <x:c r="E29" s="68"/>
      <x:c r="F29" s="68"/>
      <x:c r="G29" s="68"/>
      <x:c r="H29" s="68"/>
      <x:c r="I29" s="68"/>
      <x:c r="J29" s="68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2" customHeight="1">
      <x:c r="A31" s="9" t="str">
        <x:v>建议最少覆盖：人口/企业、设备与连接、使用时长/频次、交易或工作量、价格与付费率、产能/成本、监管与平台约束。</x:v>
      </x:c>
      <x:c r="B31" s="9"/>
      <x:c r="C31" s="9"/>
      <x:c r="D31" s="9"/>
      <x:c r="E31" s="9"/>
      <x:c r="F31" s="9"/>
      <x:c r="G31" s="9"/>
      <x:c r="H31" s="9"/>
      <x:c r="I31" s="9"/>
      <x:c r="J31" s="9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</x:sheetData>
  <x:mergeCells>
    <x:mergeCell ref="A1:J1"/>
    <x:mergeCell ref="A2:J2"/>
    <x:mergeCell ref="A31:J31"/>
  </x:mergeCells>
  <x:dataValidations count="1">
    <x:dataValidation type="list" sqref="B5:B29">
      <x:formula1>"需求,供给,价格,采用,容量,监管,竞争"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8" hidden="0" customWidth="1"/>
    <x:col min="9" max="9" width="12" hidden="0" customWidth="1"/>
    <x:col min="10" max="10" width="12" hidden="0" customWidth="1"/>
    <x:col min="11" max="11" width="18" hidden="0" customWidth="1"/>
    <x:col min="12" max="12" width="18" hidden="0" customWidth="1"/>
    <x:col min="13" max="13" width="24" hidden="0" customWidth="1"/>
  </x:cols>
  <x:sheetData>
    <x:row r="1" ht="34" customHeight="1">
      <x:c r="A1" s="4" t="str">
        <x:v>06｜用户 / 需求自下而上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5" customHeight="1">
      <x:c r="A2" s="7" t="str">
        <x:v>默认公式：可触达单位 × 活跃率 × 付费率 × 年 ARPPU；使用量定价时按业务替换公式。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0" customHeight="1">
      <x:c r="A5" s="39" t="str">
        <x:v>用户/需求细分</x:v>
      </x:c>
      <x:c r="B5" s="40" t="str">
        <x:v>可服务基数（百万人/百万席位）</x:v>
      </x:c>
      <x:c r="C5" s="40" t="str">
        <x:v>活跃率（%）</x:v>
      </x:c>
      <x:c r="D5" s="40" t="str">
        <x:v>活跃单位（百万）</x:v>
      </x:c>
      <x:c r="E5" s="40" t="str">
        <x:v>付费率（%）</x:v>
      </x:c>
      <x:c r="F5" s="40" t="str">
        <x:v>付费单位（百万）</x:v>
      </x:c>
      <x:c r="G5" s="40" t="str">
        <x:v>ARPPU（USD/年）</x:v>
      </x:c>
      <x:c r="H5" s="40" t="str">
        <x:v>Point 市场（USD mm）</x:v>
      </x:c>
      <x:c r="I5" s="40" t="str">
        <x:v>Low 系数（x）</x:v>
      </x:c>
      <x:c r="J5" s="40" t="str">
        <x:v>High 系数（x）</x:v>
      </x:c>
      <x:c r="K5" s="40" t="str">
        <x:v>Low 市场（USD mm）</x:v>
      </x:c>
      <x:c r="L5" s="40" t="str">
        <x:v>High 市场（USD mm）</x:v>
      </x:c>
      <x:c r="M5" s="40" t="str">
        <x:v>来源/假设</x:v>
      </x:c>
    </x:row>
    <x:row r="6">
      <x:c r="A6" s="65"/>
      <x:c r="B6" s="80"/>
      <x:c r="C6" s="81"/>
      <x:c r="D6" s="82" t="n">
        <x:f>B6*C6</x:f>
        <x:v>0</x:v>
      </x:c>
      <x:c r="E6" s="81"/>
      <x:c r="F6" s="82" t="n">
        <x:f>D6*E6</x:f>
        <x:v>0</x:v>
      </x:c>
      <x:c r="G6" s="83"/>
      <x:c r="H6" s="53" t="n">
        <x:f>F6*G6</x:f>
        <x:v>0</x:v>
      </x:c>
      <x:c r="I6" s="84" t="n">
        <x:v>0.8</x:v>
      </x:c>
      <x:c r="J6" s="84" t="n">
        <x:v>1.2</x:v>
      </x:c>
      <x:c r="K6" s="53" t="n">
        <x:f>H6*I6</x:f>
        <x:v>0</x:v>
      </x:c>
      <x:c r="L6" s="53" t="n">
        <x:f>H6*J6</x:f>
        <x:v>0</x:v>
      </x:c>
      <x:c r="M6" s="66"/>
    </x:row>
    <x:row r="7">
      <x:c r="A7" s="65"/>
      <x:c r="B7" s="80"/>
      <x:c r="C7" s="81"/>
      <x:c r="D7" s="82" t="n">
        <x:f>B7*C7</x:f>
        <x:v>0</x:v>
      </x:c>
      <x:c r="E7" s="81"/>
      <x:c r="F7" s="82" t="n">
        <x:f>D7*E7</x:f>
        <x:v>0</x:v>
      </x:c>
      <x:c r="G7" s="83"/>
      <x:c r="H7" s="53" t="n">
        <x:f>F7*G7</x:f>
        <x:v>0</x:v>
      </x:c>
      <x:c r="I7" s="84" t="n">
        <x:v>0.8</x:v>
      </x:c>
      <x:c r="J7" s="84" t="n">
        <x:v>1.2</x:v>
      </x:c>
      <x:c r="K7" s="53" t="n">
        <x:f>H7*I7</x:f>
        <x:v>0</x:v>
      </x:c>
      <x:c r="L7" s="53" t="n">
        <x:f>H7*J7</x:f>
        <x:v>0</x:v>
      </x:c>
      <x:c r="M7" s="66"/>
    </x:row>
    <x:row r="8">
      <x:c r="A8" s="65"/>
      <x:c r="B8" s="80"/>
      <x:c r="C8" s="81"/>
      <x:c r="D8" s="82" t="n">
        <x:f>B8*C8</x:f>
        <x:v>0</x:v>
      </x:c>
      <x:c r="E8" s="81"/>
      <x:c r="F8" s="82" t="n">
        <x:f>D8*E8</x:f>
        <x:v>0</x:v>
      </x:c>
      <x:c r="G8" s="83"/>
      <x:c r="H8" s="53" t="n">
        <x:f>F8*G8</x:f>
        <x:v>0</x:v>
      </x:c>
      <x:c r="I8" s="84" t="n">
        <x:v>0.8</x:v>
      </x:c>
      <x:c r="J8" s="84" t="n">
        <x:v>1.2</x:v>
      </x:c>
      <x:c r="K8" s="53" t="n">
        <x:f>H8*I8</x:f>
        <x:v>0</x:v>
      </x:c>
      <x:c r="L8" s="53" t="n">
        <x:f>H8*J8</x:f>
        <x:v>0</x:v>
      </x:c>
      <x:c r="M8" s="66"/>
    </x:row>
    <x:row r="9">
      <x:c r="A9" s="65"/>
      <x:c r="B9" s="80"/>
      <x:c r="C9" s="81"/>
      <x:c r="D9" s="82" t="n">
        <x:f>B9*C9</x:f>
        <x:v>0</x:v>
      </x:c>
      <x:c r="E9" s="81"/>
      <x:c r="F9" s="82" t="n">
        <x:f>D9*E9</x:f>
        <x:v>0</x:v>
      </x:c>
      <x:c r="G9" s="83"/>
      <x:c r="H9" s="53" t="n">
        <x:f>F9*G9</x:f>
        <x:v>0</x:v>
      </x:c>
      <x:c r="I9" s="84" t="n">
        <x:v>0.8</x:v>
      </x:c>
      <x:c r="J9" s="84" t="n">
        <x:v>1.2</x:v>
      </x:c>
      <x:c r="K9" s="53" t="n">
        <x:f>H9*I9</x:f>
        <x:v>0</x:v>
      </x:c>
      <x:c r="L9" s="53" t="n">
        <x:f>H9*J9</x:f>
        <x:v>0</x:v>
      </x:c>
      <x:c r="M9" s="66"/>
    </x:row>
    <x:row r="10">
      <x:c r="A10" s="65"/>
      <x:c r="B10" s="80"/>
      <x:c r="C10" s="81"/>
      <x:c r="D10" s="82" t="n">
        <x:f>B10*C10</x:f>
        <x:v>0</x:v>
      </x:c>
      <x:c r="E10" s="81"/>
      <x:c r="F10" s="82" t="n">
        <x:f>D10*E10</x:f>
        <x:v>0</x:v>
      </x:c>
      <x:c r="G10" s="83"/>
      <x:c r="H10" s="53" t="n">
        <x:f>F10*G10</x:f>
        <x:v>0</x:v>
      </x:c>
      <x:c r="I10" s="84" t="n">
        <x:v>0.8</x:v>
      </x:c>
      <x:c r="J10" s="84" t="n">
        <x:v>1.2</x:v>
      </x:c>
      <x:c r="K10" s="53" t="n">
        <x:f>H10*I10</x:f>
        <x:v>0</x:v>
      </x:c>
      <x:c r="L10" s="53" t="n">
        <x:f>H10*J10</x:f>
        <x:v>0</x:v>
      </x:c>
      <x:c r="M10" s="66"/>
    </x:row>
    <x:row r="11">
      <x:c r="A11" s="65"/>
      <x:c r="B11" s="80"/>
      <x:c r="C11" s="81"/>
      <x:c r="D11" s="82" t="n">
        <x:f>B11*C11</x:f>
        <x:v>0</x:v>
      </x:c>
      <x:c r="E11" s="81"/>
      <x:c r="F11" s="82" t="n">
        <x:f>D11*E11</x:f>
        <x:v>0</x:v>
      </x:c>
      <x:c r="G11" s="83"/>
      <x:c r="H11" s="53" t="n">
        <x:f>F11*G11</x:f>
        <x:v>0</x:v>
      </x:c>
      <x:c r="I11" s="84" t="n">
        <x:v>0.8</x:v>
      </x:c>
      <x:c r="J11" s="84" t="n">
        <x:v>1.2</x:v>
      </x:c>
      <x:c r="K11" s="53" t="n">
        <x:f>H11*I11</x:f>
        <x:v>0</x:v>
      </x:c>
      <x:c r="L11" s="53" t="n">
        <x:f>H11*J11</x:f>
        <x:v>0</x:v>
      </x:c>
      <x:c r="M11" s="66"/>
    </x:row>
    <x:row r="12">
      <x:c r="A12" s="65"/>
      <x:c r="B12" s="80"/>
      <x:c r="C12" s="81"/>
      <x:c r="D12" s="82" t="n">
        <x:f>B12*C12</x:f>
        <x:v>0</x:v>
      </x:c>
      <x:c r="E12" s="81"/>
      <x:c r="F12" s="82" t="n">
        <x:f>D12*E12</x:f>
        <x:v>0</x:v>
      </x:c>
      <x:c r="G12" s="83"/>
      <x:c r="H12" s="53" t="n">
        <x:f>F12*G12</x:f>
        <x:v>0</x:v>
      </x:c>
      <x:c r="I12" s="84" t="n">
        <x:v>0.8</x:v>
      </x:c>
      <x:c r="J12" s="84" t="n">
        <x:v>1.2</x:v>
      </x:c>
      <x:c r="K12" s="53" t="n">
        <x:f>H12*I12</x:f>
        <x:v>0</x:v>
      </x:c>
      <x:c r="L12" s="53" t="n">
        <x:f>H12*J12</x:f>
        <x:v>0</x:v>
      </x:c>
      <x:c r="M12" s="66"/>
    </x:row>
    <x:row r="13">
      <x:c r="A13" s="65"/>
      <x:c r="B13" s="80"/>
      <x:c r="C13" s="81"/>
      <x:c r="D13" s="82" t="n">
        <x:f>B13*C13</x:f>
        <x:v>0</x:v>
      </x:c>
      <x:c r="E13" s="81"/>
      <x:c r="F13" s="82" t="n">
        <x:f>D13*E13</x:f>
        <x:v>0</x:v>
      </x:c>
      <x:c r="G13" s="83"/>
      <x:c r="H13" s="53" t="n">
        <x:f>F13*G13</x:f>
        <x:v>0</x:v>
      </x:c>
      <x:c r="I13" s="84" t="n">
        <x:v>0.8</x:v>
      </x:c>
      <x:c r="J13" s="84" t="n">
        <x:v>1.2</x:v>
      </x:c>
      <x:c r="K13" s="53" t="n">
        <x:f>H13*I13</x:f>
        <x:v>0</x:v>
      </x:c>
      <x:c r="L13" s="53" t="n">
        <x:f>H13*J13</x:f>
        <x:v>0</x:v>
      </x:c>
      <x:c r="M13" s="66"/>
    </x:row>
    <x:row r="14">
      <x:c r="A14" s="65"/>
      <x:c r="B14" s="80"/>
      <x:c r="C14" s="81"/>
      <x:c r="D14" s="82" t="n">
        <x:f>B14*C14</x:f>
        <x:v>0</x:v>
      </x:c>
      <x:c r="E14" s="81"/>
      <x:c r="F14" s="82" t="n">
        <x:f>D14*E14</x:f>
        <x:v>0</x:v>
      </x:c>
      <x:c r="G14" s="83"/>
      <x:c r="H14" s="53" t="n">
        <x:f>F14*G14</x:f>
        <x:v>0</x:v>
      </x:c>
      <x:c r="I14" s="84" t="n">
        <x:v>0.8</x:v>
      </x:c>
      <x:c r="J14" s="84" t="n">
        <x:v>1.2</x:v>
      </x:c>
      <x:c r="K14" s="53" t="n">
        <x:f>H14*I14</x:f>
        <x:v>0</x:v>
      </x:c>
      <x:c r="L14" s="53" t="n">
        <x:f>H14*J14</x:f>
        <x:v>0</x:v>
      </x:c>
      <x:c r="M14" s="66"/>
    </x:row>
    <x:row r="15">
      <x:c r="A15" s="65"/>
      <x:c r="B15" s="80"/>
      <x:c r="C15" s="81"/>
      <x:c r="D15" s="82" t="n">
        <x:f>B15*C15</x:f>
        <x:v>0</x:v>
      </x:c>
      <x:c r="E15" s="81"/>
      <x:c r="F15" s="82" t="n">
        <x:f>D15*E15</x:f>
        <x:v>0</x:v>
      </x:c>
      <x:c r="G15" s="83"/>
      <x:c r="H15" s="53" t="n">
        <x:f>F15*G15</x:f>
        <x:v>0</x:v>
      </x:c>
      <x:c r="I15" s="84" t="n">
        <x:v>0.8</x:v>
      </x:c>
      <x:c r="J15" s="84" t="n">
        <x:v>1.2</x:v>
      </x:c>
      <x:c r="K15" s="53" t="n">
        <x:f>H15*I15</x:f>
        <x:v>0</x:v>
      </x:c>
      <x:c r="L15" s="53" t="n">
        <x:f>H15*J15</x:f>
        <x:v>0</x:v>
      </x:c>
      <x:c r="M15" s="66"/>
    </x:row>
    <x:row r="16">
      <x:c r="A16" s="65"/>
      <x:c r="B16" s="80"/>
      <x:c r="C16" s="81"/>
      <x:c r="D16" s="82" t="n">
        <x:f>B16*C16</x:f>
        <x:v>0</x:v>
      </x:c>
      <x:c r="E16" s="81"/>
      <x:c r="F16" s="82" t="n">
        <x:f>D16*E16</x:f>
        <x:v>0</x:v>
      </x:c>
      <x:c r="G16" s="83"/>
      <x:c r="H16" s="53" t="n">
        <x:f>F16*G16</x:f>
        <x:v>0</x:v>
      </x:c>
      <x:c r="I16" s="84" t="n">
        <x:v>0.8</x:v>
      </x:c>
      <x:c r="J16" s="84" t="n">
        <x:v>1.2</x:v>
      </x:c>
      <x:c r="K16" s="53" t="n">
        <x:f>H16*I16</x:f>
        <x:v>0</x:v>
      </x:c>
      <x:c r="L16" s="53" t="n">
        <x:f>H16*J16</x:f>
        <x:v>0</x:v>
      </x:c>
      <x:c r="M16" s="66"/>
    </x:row>
    <x:row r="17">
      <x:c r="A17" s="65"/>
      <x:c r="B17" s="80"/>
      <x:c r="C17" s="81"/>
      <x:c r="D17" s="82" t="n">
        <x:f>B17*C17</x:f>
        <x:v>0</x:v>
      </x:c>
      <x:c r="E17" s="81"/>
      <x:c r="F17" s="82" t="n">
        <x:f>D17*E17</x:f>
        <x:v>0</x:v>
      </x:c>
      <x:c r="G17" s="83"/>
      <x:c r="H17" s="53" t="n">
        <x:f>F17*G17</x:f>
        <x:v>0</x:v>
      </x:c>
      <x:c r="I17" s="84" t="n">
        <x:v>0.8</x:v>
      </x:c>
      <x:c r="J17" s="84" t="n">
        <x:v>1.2</x:v>
      </x:c>
      <x:c r="K17" s="53" t="n">
        <x:f>H17*I17</x:f>
        <x:v>0</x:v>
      </x:c>
      <x:c r="L17" s="53" t="n">
        <x:f>H17*J17</x:f>
        <x:v>0</x:v>
      </x:c>
      <x:c r="M17" s="66"/>
    </x:row>
    <x:row r="18">
      <x:c r="A18" s="65"/>
      <x:c r="B18" s="80"/>
      <x:c r="C18" s="81"/>
      <x:c r="D18" s="82" t="n">
        <x:f>B18*C18</x:f>
        <x:v>0</x:v>
      </x:c>
      <x:c r="E18" s="81"/>
      <x:c r="F18" s="82" t="n">
        <x:f>D18*E18</x:f>
        <x:v>0</x:v>
      </x:c>
      <x:c r="G18" s="83"/>
      <x:c r="H18" s="53" t="n">
        <x:f>F18*G18</x:f>
        <x:v>0</x:v>
      </x:c>
      <x:c r="I18" s="84" t="n">
        <x:v>0.8</x:v>
      </x:c>
      <x:c r="J18" s="84" t="n">
        <x:v>1.2</x:v>
      </x:c>
      <x:c r="K18" s="53" t="n">
        <x:f>H18*I18</x:f>
        <x:v>0</x:v>
      </x:c>
      <x:c r="L18" s="53" t="n">
        <x:f>H18*J18</x:f>
        <x:v>0</x:v>
      </x:c>
      <x:c r="M18" s="66"/>
    </x:row>
    <x:row r="19">
      <x:c r="A19" s="65"/>
      <x:c r="B19" s="80"/>
      <x:c r="C19" s="81"/>
      <x:c r="D19" s="82" t="n">
        <x:f>B19*C19</x:f>
        <x:v>0</x:v>
      </x:c>
      <x:c r="E19" s="81"/>
      <x:c r="F19" s="82" t="n">
        <x:f>D19*E19</x:f>
        <x:v>0</x:v>
      </x:c>
      <x:c r="G19" s="83"/>
      <x:c r="H19" s="53" t="n">
        <x:f>F19*G19</x:f>
        <x:v>0</x:v>
      </x:c>
      <x:c r="I19" s="84" t="n">
        <x:v>0.8</x:v>
      </x:c>
      <x:c r="J19" s="84" t="n">
        <x:v>1.2</x:v>
      </x:c>
      <x:c r="K19" s="53" t="n">
        <x:f>H19*I19</x:f>
        <x:v>0</x:v>
      </x:c>
      <x:c r="L19" s="53" t="n">
        <x:f>H19*J19</x:f>
        <x:v>0</x:v>
      </x:c>
      <x:c r="M19" s="66"/>
    </x:row>
    <x:row r="20">
      <x:c r="A20" s="65"/>
      <x:c r="B20" s="80"/>
      <x:c r="C20" s="81"/>
      <x:c r="D20" s="82" t="n">
        <x:f>B20*C20</x:f>
        <x:v>0</x:v>
      </x:c>
      <x:c r="E20" s="81"/>
      <x:c r="F20" s="82" t="n">
        <x:f>D20*E20</x:f>
        <x:v>0</x:v>
      </x:c>
      <x:c r="G20" s="83"/>
      <x:c r="H20" s="53" t="n">
        <x:f>F20*G20</x:f>
        <x:v>0</x:v>
      </x:c>
      <x:c r="I20" s="84" t="n">
        <x:v>0.8</x:v>
      </x:c>
      <x:c r="J20" s="84" t="n">
        <x:v>1.2</x:v>
      </x:c>
      <x:c r="K20" s="53" t="n">
        <x:f>H20*I20</x:f>
        <x:v>0</x:v>
      </x:c>
      <x:c r="L20" s="53" t="n">
        <x:f>H20*J20</x:f>
        <x:v>0</x:v>
      </x:c>
      <x:c r="M20" s="66"/>
    </x:row>
    <x:row r="21">
      <x:c r="A21" s="65"/>
      <x:c r="B21" s="80"/>
      <x:c r="C21" s="81"/>
      <x:c r="D21" s="82" t="n">
        <x:f>B21*C21</x:f>
        <x:v>0</x:v>
      </x:c>
      <x:c r="E21" s="81"/>
      <x:c r="F21" s="82" t="n">
        <x:f>D21*E21</x:f>
        <x:v>0</x:v>
      </x:c>
      <x:c r="G21" s="83"/>
      <x:c r="H21" s="53" t="n">
        <x:f>F21*G21</x:f>
        <x:v>0</x:v>
      </x:c>
      <x:c r="I21" s="84" t="n">
        <x:v>0.8</x:v>
      </x:c>
      <x:c r="J21" s="84" t="n">
        <x:v>1.2</x:v>
      </x:c>
      <x:c r="K21" s="53" t="n">
        <x:f>H21*I21</x:f>
        <x:v>0</x:v>
      </x:c>
      <x:c r="L21" s="53" t="n">
        <x:f>H21*J21</x:f>
        <x:v>0</x:v>
      </x:c>
      <x:c r="M21" s="66"/>
    </x:row>
    <x:row r="22">
      <x:c r="A22" s="65"/>
      <x:c r="B22" s="80"/>
      <x:c r="C22" s="81"/>
      <x:c r="D22" s="82" t="n">
        <x:f>B22*C22</x:f>
        <x:v>0</x:v>
      </x:c>
      <x:c r="E22" s="81"/>
      <x:c r="F22" s="82" t="n">
        <x:f>D22*E22</x:f>
        <x:v>0</x:v>
      </x:c>
      <x:c r="G22" s="83"/>
      <x:c r="H22" s="53" t="n">
        <x:f>F22*G22</x:f>
        <x:v>0</x:v>
      </x:c>
      <x:c r="I22" s="84" t="n">
        <x:v>0.8</x:v>
      </x:c>
      <x:c r="J22" s="84" t="n">
        <x:v>1.2</x:v>
      </x:c>
      <x:c r="K22" s="53" t="n">
        <x:f>H22*I22</x:f>
        <x:v>0</x:v>
      </x:c>
      <x:c r="L22" s="53" t="n">
        <x:f>H22*J22</x:f>
        <x:v>0</x:v>
      </x:c>
      <x:c r="M22" s="66"/>
    </x:row>
    <x:row r="23">
      <x:c r="A23" s="65"/>
      <x:c r="B23" s="80"/>
      <x:c r="C23" s="81"/>
      <x:c r="D23" s="82" t="n">
        <x:f>B23*C23</x:f>
        <x:v>0</x:v>
      </x:c>
      <x:c r="E23" s="81"/>
      <x:c r="F23" s="82" t="n">
        <x:f>D23*E23</x:f>
        <x:v>0</x:v>
      </x:c>
      <x:c r="G23" s="83"/>
      <x:c r="H23" s="53" t="n">
        <x:f>F23*G23</x:f>
        <x:v>0</x:v>
      </x:c>
      <x:c r="I23" s="84" t="n">
        <x:v>0.8</x:v>
      </x:c>
      <x:c r="J23" s="84" t="n">
        <x:v>1.2</x:v>
      </x:c>
      <x:c r="K23" s="53" t="n">
        <x:f>H23*I23</x:f>
        <x:v>0</x:v>
      </x:c>
      <x:c r="L23" s="53" t="n">
        <x:f>H23*J23</x:f>
        <x:v>0</x:v>
      </x:c>
      <x:c r="M23" s="66"/>
    </x:row>
    <x:row r="24">
      <x:c r="A24" s="65"/>
      <x:c r="B24" s="80"/>
      <x:c r="C24" s="81"/>
      <x:c r="D24" s="82" t="n">
        <x:f>B24*C24</x:f>
        <x:v>0</x:v>
      </x:c>
      <x:c r="E24" s="81"/>
      <x:c r="F24" s="82" t="n">
        <x:f>D24*E24</x:f>
        <x:v>0</x:v>
      </x:c>
      <x:c r="G24" s="83"/>
      <x:c r="H24" s="53" t="n">
        <x:f>F24*G24</x:f>
        <x:v>0</x:v>
      </x:c>
      <x:c r="I24" s="84" t="n">
        <x:v>0.8</x:v>
      </x:c>
      <x:c r="J24" s="84" t="n">
        <x:v>1.2</x:v>
      </x:c>
      <x:c r="K24" s="53" t="n">
        <x:f>H24*I24</x:f>
        <x:v>0</x:v>
      </x:c>
      <x:c r="L24" s="53" t="n">
        <x:f>H24*J24</x:f>
        <x:v>0</x:v>
      </x:c>
      <x:c r="M24" s="66"/>
    </x:row>
    <x:row r="25">
      <x:c r="A25" s="65"/>
      <x:c r="B25" s="80"/>
      <x:c r="C25" s="81"/>
      <x:c r="D25" s="82" t="n">
        <x:f>B25*C25</x:f>
        <x:v>0</x:v>
      </x:c>
      <x:c r="E25" s="81"/>
      <x:c r="F25" s="82" t="n">
        <x:f>D25*E25</x:f>
        <x:v>0</x:v>
      </x:c>
      <x:c r="G25" s="83"/>
      <x:c r="H25" s="53" t="n">
        <x:f>F25*G25</x:f>
        <x:v>0</x:v>
      </x:c>
      <x:c r="I25" s="84" t="n">
        <x:v>0.8</x:v>
      </x:c>
      <x:c r="J25" s="84" t="n">
        <x:v>1.2</x:v>
      </x:c>
      <x:c r="K25" s="53" t="n">
        <x:f>H25*I25</x:f>
        <x:v>0</x:v>
      </x:c>
      <x:c r="L25" s="53" t="n">
        <x:f>H25*J25</x:f>
        <x:v>0</x:v>
      </x:c>
      <x:c r="M25" s="66"/>
    </x:row>
    <x:row r="26">
      <x:c r="A26" s="56"/>
      <x:c r="B26" s="25"/>
      <x:c r="C26" s="25"/>
      <x:c r="D26" s="85"/>
      <x:c r="E26" s="25"/>
      <x:c r="F26" s="85"/>
      <x:c r="G26" s="86"/>
      <x:c r="H26" s="86"/>
      <x:c r="I26" s="25"/>
      <x:c r="J26" s="25"/>
      <x:c r="K26" s="86"/>
      <x:c r="L26" s="86"/>
      <x:c r="M26" s="25"/>
    </x:row>
    <x:row r="27">
      <x:c r="A27" s="87" t="str">
        <x:v>合计</x:v>
      </x:c>
      <x:c r="B27" s="14"/>
      <x:c r="C27" s="14"/>
      <x:c r="D27" s="88" t="n">
        <x:f>SUM(D6:D25)</x:f>
        <x:v>0</x:v>
      </x:c>
      <x:c r="E27" s="14"/>
      <x:c r="F27" s="88" t="n">
        <x:f>SUM(F6:F25)</x:f>
        <x:v>0</x:v>
      </x:c>
      <x:c r="G27" s="89"/>
      <x:c r="H27" s="89" t="n">
        <x:f>SUM(H6:H25)</x:f>
        <x:v>0</x:v>
      </x:c>
      <x:c r="I27" s="14"/>
      <x:c r="J27" s="14"/>
      <x:c r="K27" s="89" t="n">
        <x:f>SUM(K6:K25)</x:f>
        <x:v>0</x:v>
      </x:c>
      <x:c r="L27" s="89" t="n">
        <x:f>SUM(L6:L25)</x:f>
        <x:v>0</x:v>
      </x:c>
      <x:c r="M27" s="14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</x:sheetData>
  <x:mergeCells>
    <x:mergeCell ref="A1:M1"/>
    <x:mergeCell ref="A2:M2"/>
    <x:mergeCell ref="A27:G2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34" hidden="0" customWidth="1"/>
    <x:col min="15" max="15" width="28" hidden="0" customWidth="1"/>
    <x:col min="16" max="16" width="20" hidden="0" customWidth="1"/>
    <x:col min="17" max="17" width="20" hidden="0" customWidth="1"/>
    <x:col min="18" max="18" width="42" hidden="0" customWidth="1"/>
  </x:cols>
  <x:sheetData>
    <x:row r="1" ht="34" customHeight="1">
      <x:c r="A1" s="4" t="str">
        <x:v>07｜收入加总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5" customHeight="1">
      <x:c r="A2" s="7" t="str">
        <x:v>覆盖上市公司、私营产品、移动、Web、桌面、服务与渠道；显式解释基准年换算和不确定性。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39" t="str">
        <x:v>公司 / 产品 / 组合</x:v>
      </x:c>
      <x:c r="B5" s="40" t="str">
        <x:v>来源类型</x:v>
      </x:c>
      <x:c r="C5" s="40" t="str">
        <x:v>来源收入（USD mm）</x:v>
      </x:c>
      <x:c r="D5" s="40" t="str">
        <x:v>相关收入比例（%）</x:v>
      </x:c>
      <x:c r="E5" s="40" t="str">
        <x:v>去重/口径调整（x）</x:v>
      </x:c>
      <x:c r="F5" s="40" t="str">
        <x:v>基准年换算系数（x）</x:v>
      </x:c>
      <x:c r="G5" s="40" t="str">
        <x:v>Point收入（USD mm）</x:v>
      </x:c>
      <x:c r="H5" s="40" t="str">
        <x:v>Low系数（x）</x:v>
      </x:c>
      <x:c r="I5" s="40" t="str">
        <x:v>High系数（x）</x:v>
      </x:c>
      <x:c r="J5" s="40" t="str">
        <x:v>Low收入（USD mm）</x:v>
      </x:c>
      <x:c r="K5" s="40" t="str">
        <x:v>High收入（USD mm）</x:v>
      </x:c>
      <x:c r="L5" s="40" t="str">
        <x:v>来源 ID</x:v>
      </x:c>
      <x:c r="M5" s="40" t="str">
        <x:v>基准年换算依据</x:v>
      </x:c>
      <x:c r="N5" s="40" t="str">
        <x:v>Low / High 估计依据</x:v>
      </x:c>
      <x:c r="O5" s="39" t="str">
        <x:v>组件</x:v>
      </x:c>
      <x:c r="P5" s="40" t="str">
        <x:v>所属组合</x:v>
      </x:c>
      <x:c r="Q5" s="40" t="str">
        <x:v>基准年收入假设（USD mm）</x:v>
      </x:c>
      <x:c r="R5" s="40" t="str">
        <x:v>估计方法 / 锚点</x:v>
      </x:c>
    </x:row>
    <x:row r="6">
      <x:c r="A6" s="97"/>
      <x:c r="B6" s="98"/>
      <x:c r="C6" s="51"/>
      <x:c r="D6" s="81" t="n">
        <x:v>1</x:v>
      </x:c>
      <x:c r="E6" s="81" t="n">
        <x:v>1</x:v>
      </x:c>
      <x:c r="F6" s="84" t="n">
        <x:v>1</x:v>
      </x:c>
      <x:c r="G6" s="53" t="n">
        <x:f>C6*D6*E6*F6</x:f>
        <x:v>0</x:v>
      </x:c>
      <x:c r="H6" s="84" t="n">
        <x:v>0.8</x:v>
      </x:c>
      <x:c r="I6" s="84" t="n">
        <x:v>1.2</x:v>
      </x:c>
      <x:c r="J6" s="53" t="n">
        <x:f>G6*H6</x:f>
        <x:v>0</x:v>
      </x:c>
      <x:c r="K6" s="53" t="n">
        <x:f>G6*I6</x:f>
        <x:v>0</x:v>
      </x:c>
      <x:c r="L6" s="98"/>
      <x:c r="M6" s="98"/>
      <x:c r="N6" s="98"/>
      <x:c r="O6" s="99" t="str">
        <x:v>私营组件 1</x:v>
      </x:c>
      <x:c r="P6" s="15" t="str">
        <x:v>其他私营/专业</x:v>
      </x:c>
      <x:c r="Q6" s="100" t="n">
        <x:v>0</x:v>
      </x:c>
      <x:c r="R6" s="15" t="str">
        <x:v>按公司、产品或渠道单独估计</x:v>
      </x:c>
    </x:row>
    <x:row r="7">
      <x:c r="A7" s="97"/>
      <x:c r="B7" s="98"/>
      <x:c r="C7" s="51"/>
      <x:c r="D7" s="81" t="n">
        <x:v>1</x:v>
      </x:c>
      <x:c r="E7" s="81" t="n">
        <x:v>1</x:v>
      </x:c>
      <x:c r="F7" s="84" t="n">
        <x:v>1</x:v>
      </x:c>
      <x:c r="G7" s="53" t="n">
        <x:f>C7*D7*E7*F7</x:f>
        <x:v>0</x:v>
      </x:c>
      <x:c r="H7" s="84" t="n">
        <x:v>0.8</x:v>
      </x:c>
      <x:c r="I7" s="84" t="n">
        <x:v>1.2</x:v>
      </x:c>
      <x:c r="J7" s="53" t="n">
        <x:f>G7*H7</x:f>
        <x:v>0</x:v>
      </x:c>
      <x:c r="K7" s="53" t="n">
        <x:f>G7*I7</x:f>
        <x:v>0</x:v>
      </x:c>
      <x:c r="L7" s="98"/>
      <x:c r="M7" s="98"/>
      <x:c r="N7" s="98"/>
      <x:c r="O7" s="99" t="str">
        <x:v>私营组件 2</x:v>
      </x:c>
      <x:c r="P7" s="15" t="str">
        <x:v>其他私营/专业</x:v>
      </x:c>
      <x:c r="Q7" s="100" t="n">
        <x:v>0</x:v>
      </x:c>
      <x:c r="R7" s="15" t="str">
        <x:v>按公司、产品或渠道单独估计</x:v>
      </x:c>
    </x:row>
    <x:row r="8">
      <x:c r="A8" s="97"/>
      <x:c r="B8" s="98"/>
      <x:c r="C8" s="51"/>
      <x:c r="D8" s="81" t="n">
        <x:v>1</x:v>
      </x:c>
      <x:c r="E8" s="81" t="n">
        <x:v>1</x:v>
      </x:c>
      <x:c r="F8" s="84" t="n">
        <x:v>1</x:v>
      </x:c>
      <x:c r="G8" s="53" t="n">
        <x:f>C8*D8*E8*F8</x:f>
        <x:v>0</x:v>
      </x:c>
      <x:c r="H8" s="84" t="n">
        <x:v>0.8</x:v>
      </x:c>
      <x:c r="I8" s="84" t="n">
        <x:v>1.2</x:v>
      </x:c>
      <x:c r="J8" s="53" t="n">
        <x:f>G8*H8</x:f>
        <x:v>0</x:v>
      </x:c>
      <x:c r="K8" s="53" t="n">
        <x:f>G8*I8</x:f>
        <x:v>0</x:v>
      </x:c>
      <x:c r="L8" s="98"/>
      <x:c r="M8" s="98"/>
      <x:c r="N8" s="98"/>
      <x:c r="O8" s="99" t="str">
        <x:v>私营组件 3</x:v>
      </x:c>
      <x:c r="P8" s="15" t="str">
        <x:v>其他私营/专业</x:v>
      </x:c>
      <x:c r="Q8" s="100" t="n">
        <x:v>0</x:v>
      </x:c>
      <x:c r="R8" s="15" t="str">
        <x:v>按公司、产品或渠道单独估计</x:v>
      </x:c>
    </x:row>
    <x:row r="9">
      <x:c r="A9" s="97"/>
      <x:c r="B9" s="98"/>
      <x:c r="C9" s="51"/>
      <x:c r="D9" s="81" t="n">
        <x:v>1</x:v>
      </x:c>
      <x:c r="E9" s="81" t="n">
        <x:v>1</x:v>
      </x:c>
      <x:c r="F9" s="84" t="n">
        <x:v>1</x:v>
      </x:c>
      <x:c r="G9" s="53" t="n">
        <x:f>C9*D9*E9*F9</x:f>
        <x:v>0</x:v>
      </x:c>
      <x:c r="H9" s="84" t="n">
        <x:v>0.8</x:v>
      </x:c>
      <x:c r="I9" s="84" t="n">
        <x:v>1.2</x:v>
      </x:c>
      <x:c r="J9" s="53" t="n">
        <x:f>G9*H9</x:f>
        <x:v>0</x:v>
      </x:c>
      <x:c r="K9" s="53" t="n">
        <x:f>G9*I9</x:f>
        <x:v>0</x:v>
      </x:c>
      <x:c r="L9" s="98"/>
      <x:c r="M9" s="98"/>
      <x:c r="N9" s="98"/>
      <x:c r="O9" s="99" t="str">
        <x:v>私营组件 4</x:v>
      </x:c>
      <x:c r="P9" s="15" t="str">
        <x:v>其他私营/专业</x:v>
      </x:c>
      <x:c r="Q9" s="100" t="n">
        <x:v>0</x:v>
      </x:c>
      <x:c r="R9" s="15" t="str">
        <x:v>按公司、产品或渠道单独估计</x:v>
      </x:c>
    </x:row>
    <x:row r="10">
      <x:c r="A10" s="97"/>
      <x:c r="B10" s="98"/>
      <x:c r="C10" s="51"/>
      <x:c r="D10" s="81" t="n">
        <x:v>1</x:v>
      </x:c>
      <x:c r="E10" s="81" t="n">
        <x:v>1</x:v>
      </x:c>
      <x:c r="F10" s="84" t="n">
        <x:v>1</x:v>
      </x:c>
      <x:c r="G10" s="53" t="n">
        <x:f>C10*D10*E10*F10</x:f>
        <x:v>0</x:v>
      </x:c>
      <x:c r="H10" s="84" t="n">
        <x:v>0.8</x:v>
      </x:c>
      <x:c r="I10" s="84" t="n">
        <x:v>1.2</x:v>
      </x:c>
      <x:c r="J10" s="53" t="n">
        <x:f>G10*H10</x:f>
        <x:v>0</x:v>
      </x:c>
      <x:c r="K10" s="53" t="n">
        <x:f>G10*I10</x:f>
        <x:v>0</x:v>
      </x:c>
      <x:c r="L10" s="98"/>
      <x:c r="M10" s="98"/>
      <x:c r="N10" s="98"/>
      <x:c r="O10" s="99" t="str">
        <x:v>私营组件 5</x:v>
      </x:c>
      <x:c r="P10" s="15" t="str">
        <x:v>其他私营/专业</x:v>
      </x:c>
      <x:c r="Q10" s="100" t="n">
        <x:v>0</x:v>
      </x:c>
      <x:c r="R10" s="15" t="str">
        <x:v>按公司、产品或渠道单独估计</x:v>
      </x:c>
    </x:row>
    <x:row r="11">
      <x:c r="A11" s="97"/>
      <x:c r="B11" s="98"/>
      <x:c r="C11" s="51"/>
      <x:c r="D11" s="81" t="n">
        <x:v>1</x:v>
      </x:c>
      <x:c r="E11" s="81" t="n">
        <x:v>1</x:v>
      </x:c>
      <x:c r="F11" s="84" t="n">
        <x:v>1</x:v>
      </x:c>
      <x:c r="G11" s="53" t="n">
        <x:f>C11*D11*E11*F11</x:f>
        <x:v>0</x:v>
      </x:c>
      <x:c r="H11" s="84" t="n">
        <x:v>0.8</x:v>
      </x:c>
      <x:c r="I11" s="84" t="n">
        <x:v>1.2</x:v>
      </x:c>
      <x:c r="J11" s="53" t="n">
        <x:f>G11*H11</x:f>
        <x:v>0</x:v>
      </x:c>
      <x:c r="K11" s="53" t="n">
        <x:f>G11*I11</x:f>
        <x:v>0</x:v>
      </x:c>
      <x:c r="L11" s="98"/>
      <x:c r="M11" s="98"/>
      <x:c r="N11" s="98"/>
      <x:c r="O11" s="99" t="str">
        <x:v>其他私营/专业小计</x:v>
      </x:c>
      <x:c r="P11" s="15" t="str"/>
      <x:c r="Q11" s="101" t="n">
        <x:f>SUM(Q6:Q10)</x:f>
        <x:v>0</x:v>
      </x:c>
      <x:c r="R11" s="15" t="str">
        <x:v>上述组件加总</x:v>
      </x:c>
    </x:row>
    <x:row r="12">
      <x:c r="A12" s="97"/>
      <x:c r="B12" s="98"/>
      <x:c r="C12" s="51"/>
      <x:c r="D12" s="81" t="n">
        <x:v>1</x:v>
      </x:c>
      <x:c r="E12" s="81" t="n">
        <x:v>1</x:v>
      </x:c>
      <x:c r="F12" s="84" t="n">
        <x:v>1</x:v>
      </x:c>
      <x:c r="G12" s="53" t="n">
        <x:f>C12*D12*E12*F12</x:f>
        <x:v>0</x:v>
      </x:c>
      <x:c r="H12" s="84" t="n">
        <x:v>0.8</x:v>
      </x:c>
      <x:c r="I12" s="84" t="n">
        <x:v>1.2</x:v>
      </x:c>
      <x:c r="J12" s="53" t="n">
        <x:f>G12*H12</x:f>
        <x:v>0</x:v>
      </x:c>
      <x:c r="K12" s="53" t="n">
        <x:f>G12*I12</x:f>
        <x:v>0</x:v>
      </x:c>
      <x:c r="L12" s="98"/>
      <x:c r="M12" s="98"/>
      <x:c r="N12" s="98"/>
      <x:c r="O12" s="99"/>
      <x:c r="P12" s="15"/>
      <x:c r="Q12" s="102"/>
      <x:c r="R12" s="15"/>
    </x:row>
    <x:row r="13" ht="22" customHeight="1">
      <x:c r="A13" s="97"/>
      <x:c r="B13" s="98"/>
      <x:c r="C13" s="51"/>
      <x:c r="D13" s="81" t="n">
        <x:v>1</x:v>
      </x:c>
      <x:c r="E13" s="81" t="n">
        <x:v>1</x:v>
      </x:c>
      <x:c r="F13" s="84" t="n">
        <x:v>1</x:v>
      </x:c>
      <x:c r="G13" s="53" t="n">
        <x:f>C13*D13*E13*F13</x:f>
        <x:v>0</x:v>
      </x:c>
      <x:c r="H13" s="84" t="n">
        <x:v>0.8</x:v>
      </x:c>
      <x:c r="I13" s="84" t="n">
        <x:v>1.2</x:v>
      </x:c>
      <x:c r="J13" s="53" t="n">
        <x:f>G13*H13</x:f>
        <x:v>0</x:v>
      </x:c>
      <x:c r="K13" s="53" t="n">
        <x:f>G13*I13</x:f>
        <x:v>0</x:v>
      </x:c>
      <x:c r="L13" s="98"/>
      <x:c r="M13" s="98"/>
      <x:c r="N13" s="98"/>
      <x:c r="O13" s="103" t="str">
        <x:v>平台与长尾组件拆分</x:v>
      </x:c>
      <x:c r="P13" s="104"/>
      <x:c r="Q13" s="105"/>
      <x:c r="R13" s="104"/>
    </x:row>
    <x:row r="14">
      <x:c r="A14" s="97"/>
      <x:c r="B14" s="98"/>
      <x:c r="C14" s="51"/>
      <x:c r="D14" s="81" t="n">
        <x:v>1</x:v>
      </x:c>
      <x:c r="E14" s="81" t="n">
        <x:v>1</x:v>
      </x:c>
      <x:c r="F14" s="84" t="n">
        <x:v>1</x:v>
      </x:c>
      <x:c r="G14" s="53" t="n">
        <x:f>C14*D14*E14*F14</x:f>
        <x:v>0</x:v>
      </x:c>
      <x:c r="H14" s="84" t="n">
        <x:v>0.8</x:v>
      </x:c>
      <x:c r="I14" s="84" t="n">
        <x:v>1.2</x:v>
      </x:c>
      <x:c r="J14" s="53" t="n">
        <x:f>G14*H14</x:f>
        <x:v>0</x:v>
      </x:c>
      <x:c r="K14" s="53" t="n">
        <x:f>G14*I14</x:f>
        <x:v>0</x:v>
      </x:c>
      <x:c r="L14" s="98"/>
      <x:c r="M14" s="98"/>
      <x:c r="N14" s="98"/>
      <x:c r="O14" s="99" t="str">
        <x:v>平台/长尾组件 1</x:v>
      </x:c>
      <x:c r="P14" s="15" t="str">
        <x:v>平台与长尾</x:v>
      </x:c>
      <x:c r="Q14" s="100" t="n">
        <x:v>0</x:v>
      </x:c>
      <x:c r="R14" s="15" t="str">
        <x:v>按平台、地区或工具类型单独估计</x:v>
      </x:c>
    </x:row>
    <x:row r="15">
      <x:c r="A15" s="97"/>
      <x:c r="B15" s="98"/>
      <x:c r="C15" s="51"/>
      <x:c r="D15" s="81" t="n">
        <x:v>1</x:v>
      </x:c>
      <x:c r="E15" s="81" t="n">
        <x:v>1</x:v>
      </x:c>
      <x:c r="F15" s="84" t="n">
        <x:v>1</x:v>
      </x:c>
      <x:c r="G15" s="53" t="n">
        <x:f>C15*D15*E15*F15</x:f>
        <x:v>0</x:v>
      </x:c>
      <x:c r="H15" s="84" t="n">
        <x:v>0.8</x:v>
      </x:c>
      <x:c r="I15" s="84" t="n">
        <x:v>1.2</x:v>
      </x:c>
      <x:c r="J15" s="53" t="n">
        <x:f>G15*H15</x:f>
        <x:v>0</x:v>
      </x:c>
      <x:c r="K15" s="53" t="n">
        <x:f>G15*I15</x:f>
        <x:v>0</x:v>
      </x:c>
      <x:c r="L15" s="98"/>
      <x:c r="M15" s="98"/>
      <x:c r="N15" s="98"/>
      <x:c r="O15" s="99" t="str">
        <x:v>平台/长尾组件 2</x:v>
      </x:c>
      <x:c r="P15" s="15" t="str">
        <x:v>平台与长尾</x:v>
      </x:c>
      <x:c r="Q15" s="100" t="n">
        <x:v>0</x:v>
      </x:c>
      <x:c r="R15" s="15" t="str">
        <x:v>按平台、地区或工具类型单独估计</x:v>
      </x:c>
    </x:row>
    <x:row r="16">
      <x:c r="A16" s="97"/>
      <x:c r="B16" s="98"/>
      <x:c r="C16" s="51"/>
      <x:c r="D16" s="81" t="n">
        <x:v>1</x:v>
      </x:c>
      <x:c r="E16" s="81" t="n">
        <x:v>1</x:v>
      </x:c>
      <x:c r="F16" s="84" t="n">
        <x:v>1</x:v>
      </x:c>
      <x:c r="G16" s="53" t="n">
        <x:f>C16*D16*E16*F16</x:f>
        <x:v>0</x:v>
      </x:c>
      <x:c r="H16" s="84" t="n">
        <x:v>0.8</x:v>
      </x:c>
      <x:c r="I16" s="84" t="n">
        <x:v>1.2</x:v>
      </x:c>
      <x:c r="J16" s="53" t="n">
        <x:f>G16*H16</x:f>
        <x:v>0</x:v>
      </x:c>
      <x:c r="K16" s="53" t="n">
        <x:f>G16*I16</x:f>
        <x:v>0</x:v>
      </x:c>
      <x:c r="L16" s="98"/>
      <x:c r="M16" s="98"/>
      <x:c r="N16" s="98"/>
      <x:c r="O16" s="99" t="str">
        <x:v>平台/长尾组件 3</x:v>
      </x:c>
      <x:c r="P16" s="15" t="str">
        <x:v>平台与长尾</x:v>
      </x:c>
      <x:c r="Q16" s="100" t="n">
        <x:v>0</x:v>
      </x:c>
      <x:c r="R16" s="15" t="str">
        <x:v>按平台、地区或工具类型单独估计</x:v>
      </x:c>
    </x:row>
    <x:row r="17">
      <x:c r="A17" s="97"/>
      <x:c r="B17" s="98"/>
      <x:c r="C17" s="51"/>
      <x:c r="D17" s="81" t="n">
        <x:v>1</x:v>
      </x:c>
      <x:c r="E17" s="81" t="n">
        <x:v>1</x:v>
      </x:c>
      <x:c r="F17" s="84" t="n">
        <x:v>1</x:v>
      </x:c>
      <x:c r="G17" s="53" t="n">
        <x:f>C17*D17*E17*F17</x:f>
        <x:v>0</x:v>
      </x:c>
      <x:c r="H17" s="84" t="n">
        <x:v>0.8</x:v>
      </x:c>
      <x:c r="I17" s="84" t="n">
        <x:v>1.2</x:v>
      </x:c>
      <x:c r="J17" s="53" t="n">
        <x:f>G17*H17</x:f>
        <x:v>0</x:v>
      </x:c>
      <x:c r="K17" s="53" t="n">
        <x:f>G17*I17</x:f>
        <x:v>0</x:v>
      </x:c>
      <x:c r="L17" s="98"/>
      <x:c r="M17" s="98"/>
      <x:c r="N17" s="98"/>
      <x:c r="O17" s="99" t="str">
        <x:v>平台/长尾组件 4</x:v>
      </x:c>
      <x:c r="P17" s="15" t="str">
        <x:v>平台与长尾</x:v>
      </x:c>
      <x:c r="Q17" s="100" t="n">
        <x:v>0</x:v>
      </x:c>
      <x:c r="R17" s="15" t="str">
        <x:v>按平台、地区或工具类型单独估计</x:v>
      </x:c>
    </x:row>
    <x:row r="18">
      <x:c r="A18" s="97"/>
      <x:c r="B18" s="98"/>
      <x:c r="C18" s="51"/>
      <x:c r="D18" s="81" t="n">
        <x:v>1</x:v>
      </x:c>
      <x:c r="E18" s="81" t="n">
        <x:v>1</x:v>
      </x:c>
      <x:c r="F18" s="84" t="n">
        <x:v>1</x:v>
      </x:c>
      <x:c r="G18" s="53" t="n">
        <x:f>C18*D18*E18*F18</x:f>
        <x:v>0</x:v>
      </x:c>
      <x:c r="H18" s="84" t="n">
        <x:v>0.8</x:v>
      </x:c>
      <x:c r="I18" s="84" t="n">
        <x:v>1.2</x:v>
      </x:c>
      <x:c r="J18" s="53" t="n">
        <x:f>G18*H18</x:f>
        <x:v>0</x:v>
      </x:c>
      <x:c r="K18" s="53" t="n">
        <x:f>G18*I18</x:f>
        <x:v>0</x:v>
      </x:c>
      <x:c r="L18" s="98"/>
      <x:c r="M18" s="98"/>
      <x:c r="N18" s="98"/>
      <x:c r="O18" s="99" t="str">
        <x:v>平台/长尾组件 5</x:v>
      </x:c>
      <x:c r="P18" s="15" t="str">
        <x:v>平台与长尾</x:v>
      </x:c>
      <x:c r="Q18" s="100" t="n">
        <x:v>0</x:v>
      </x:c>
      <x:c r="R18" s="15" t="str">
        <x:v>按平台、地区或工具类型单独估计</x:v>
      </x:c>
    </x:row>
    <x:row r="19">
      <x:c r="A19" s="97"/>
      <x:c r="B19" s="98"/>
      <x:c r="C19" s="51"/>
      <x:c r="D19" s="81" t="n">
        <x:v>1</x:v>
      </x:c>
      <x:c r="E19" s="81" t="n">
        <x:v>1</x:v>
      </x:c>
      <x:c r="F19" s="84" t="n">
        <x:v>1</x:v>
      </x:c>
      <x:c r="G19" s="53" t="n">
        <x:f>C19*D19*E19*F19</x:f>
        <x:v>0</x:v>
      </x:c>
      <x:c r="H19" s="84" t="n">
        <x:v>0.8</x:v>
      </x:c>
      <x:c r="I19" s="84" t="n">
        <x:v>1.2</x:v>
      </x:c>
      <x:c r="J19" s="53" t="n">
        <x:f>G19*H19</x:f>
        <x:v>0</x:v>
      </x:c>
      <x:c r="K19" s="53" t="n">
        <x:f>G19*I19</x:f>
        <x:v>0</x:v>
      </x:c>
      <x:c r="L19" s="98"/>
      <x:c r="M19" s="98"/>
      <x:c r="N19" s="98"/>
      <x:c r="O19" s="99" t="str">
        <x:v>平台与长尾小计</x:v>
      </x:c>
      <x:c r="P19" s="15" t="str"/>
      <x:c r="Q19" s="101" t="n">
        <x:f>SUM(Q14:Q18)</x:f>
        <x:v>0</x:v>
      </x:c>
      <x:c r="R19" s="15" t="str">
        <x:v>上述组件加总</x:v>
      </x:c>
    </x:row>
    <x:row r="20">
      <x:c r="A20" s="97"/>
      <x:c r="B20" s="98"/>
      <x:c r="C20" s="51"/>
      <x:c r="D20" s="81" t="n">
        <x:v>1</x:v>
      </x:c>
      <x:c r="E20" s="81" t="n">
        <x:v>1</x:v>
      </x:c>
      <x:c r="F20" s="84" t="n">
        <x:v>1</x:v>
      </x:c>
      <x:c r="G20" s="53" t="n">
        <x:f>C20*D20*E20*F20</x:f>
        <x:v>0</x:v>
      </x:c>
      <x:c r="H20" s="84" t="n">
        <x:v>0.8</x:v>
      </x:c>
      <x:c r="I20" s="84" t="n">
        <x:v>1.2</x:v>
      </x:c>
      <x:c r="J20" s="53" t="n">
        <x:f>G20*H20</x:f>
        <x:v>0</x:v>
      </x:c>
      <x:c r="K20" s="53" t="n">
        <x:f>G20*I20</x:f>
        <x:v>0</x:v>
      </x:c>
      <x:c r="L20" s="98"/>
      <x:c r="M20" s="98"/>
      <x:c r="N20" s="98"/>
      <x:c r="O20" s="2"/>
      <x:c r="P20" s="2"/>
      <x:c r="Q20" s="2"/>
      <x:c r="R20" s="2"/>
    </x:row>
    <x:row r="21">
      <x:c r="A21" s="97"/>
      <x:c r="B21" s="98"/>
      <x:c r="C21" s="51"/>
      <x:c r="D21" s="81" t="n">
        <x:v>1</x:v>
      </x:c>
      <x:c r="E21" s="81" t="n">
        <x:v>1</x:v>
      </x:c>
      <x:c r="F21" s="84" t="n">
        <x:v>1</x:v>
      </x:c>
      <x:c r="G21" s="53" t="n">
        <x:f>C21*D21*E21*F21</x:f>
        <x:v>0</x:v>
      </x:c>
      <x:c r="H21" s="84" t="n">
        <x:v>0.8</x:v>
      </x:c>
      <x:c r="I21" s="84" t="n">
        <x:v>1.2</x:v>
      </x:c>
      <x:c r="J21" s="53" t="n">
        <x:f>G21*H21</x:f>
        <x:v>0</x:v>
      </x:c>
      <x:c r="K21" s="53" t="n">
        <x:f>G21*I21</x:f>
        <x:v>0</x:v>
      </x:c>
      <x:c r="L21" s="98"/>
      <x:c r="M21" s="98"/>
      <x:c r="N21" s="98"/>
      <x:c r="O21" s="2"/>
      <x:c r="P21" s="2"/>
      <x:c r="Q21" s="2"/>
      <x:c r="R21" s="2"/>
    </x:row>
    <x:row r="22">
      <x:c r="A22" s="97"/>
      <x:c r="B22" s="98"/>
      <x:c r="C22" s="51"/>
      <x:c r="D22" s="81" t="n">
        <x:v>1</x:v>
      </x:c>
      <x:c r="E22" s="81" t="n">
        <x:v>1</x:v>
      </x:c>
      <x:c r="F22" s="84" t="n">
        <x:v>1</x:v>
      </x:c>
      <x:c r="G22" s="53" t="n">
        <x:f>C22*D22*E22*F22</x:f>
        <x:v>0</x:v>
      </x:c>
      <x:c r="H22" s="84" t="n">
        <x:v>0.8</x:v>
      </x:c>
      <x:c r="I22" s="84" t="n">
        <x:v>1.2</x:v>
      </x:c>
      <x:c r="J22" s="53" t="n">
        <x:f>G22*H22</x:f>
        <x:v>0</x:v>
      </x:c>
      <x:c r="K22" s="53" t="n">
        <x:f>G22*I22</x:f>
        <x:v>0</x:v>
      </x:c>
      <x:c r="L22" s="98"/>
      <x:c r="M22" s="98"/>
      <x:c r="N22" s="98"/>
      <x:c r="O22" s="2"/>
      <x:c r="P22" s="2"/>
      <x:c r="Q22" s="2"/>
      <x:c r="R22" s="2"/>
    </x:row>
    <x:row r="23">
      <x:c r="A23" s="97"/>
      <x:c r="B23" s="98"/>
      <x:c r="C23" s="51"/>
      <x:c r="D23" s="81" t="n">
        <x:v>1</x:v>
      </x:c>
      <x:c r="E23" s="81" t="n">
        <x:v>1</x:v>
      </x:c>
      <x:c r="F23" s="84" t="n">
        <x:v>1</x:v>
      </x:c>
      <x:c r="G23" s="53" t="n">
        <x:f>C23*D23*E23*F23</x:f>
        <x:v>0</x:v>
      </x:c>
      <x:c r="H23" s="84" t="n">
        <x:v>0.8</x:v>
      </x:c>
      <x:c r="I23" s="84" t="n">
        <x:v>1.2</x:v>
      </x:c>
      <x:c r="J23" s="53" t="n">
        <x:f>G23*H23</x:f>
        <x:v>0</x:v>
      </x:c>
      <x:c r="K23" s="53" t="n">
        <x:f>G23*I23</x:f>
        <x:v>0</x:v>
      </x:c>
      <x:c r="L23" s="98"/>
      <x:c r="M23" s="98"/>
      <x:c r="N23" s="98"/>
      <x:c r="O23" s="2"/>
      <x:c r="P23" s="2"/>
      <x:c r="Q23" s="2"/>
      <x:c r="R23" s="2"/>
    </x:row>
    <x:row r="24">
      <x:c r="A24" s="97"/>
      <x:c r="B24" s="98"/>
      <x:c r="C24" s="51"/>
      <x:c r="D24" s="81" t="n">
        <x:v>1</x:v>
      </x:c>
      <x:c r="E24" s="81" t="n">
        <x:v>1</x:v>
      </x:c>
      <x:c r="F24" s="84" t="n">
        <x:v>1</x:v>
      </x:c>
      <x:c r="G24" s="53" t="n">
        <x:f>C24*D24*E24*F24</x:f>
        <x:v>0</x:v>
      </x:c>
      <x:c r="H24" s="84" t="n">
        <x:v>0.8</x:v>
      </x:c>
      <x:c r="I24" s="84" t="n">
        <x:v>1.2</x:v>
      </x:c>
      <x:c r="J24" s="53" t="n">
        <x:f>G24*H24</x:f>
        <x:v>0</x:v>
      </x:c>
      <x:c r="K24" s="53" t="n">
        <x:f>G24*I24</x:f>
        <x:v>0</x:v>
      </x:c>
      <x:c r="L24" s="98"/>
      <x:c r="M24" s="98"/>
      <x:c r="N24" s="98"/>
      <x:c r="O24" s="2"/>
      <x:c r="P24" s="2"/>
      <x:c r="Q24" s="2"/>
      <x:c r="R24" s="2"/>
    </x:row>
    <x:row r="25">
      <x:c r="A25" s="97"/>
      <x:c r="B25" s="98"/>
      <x:c r="C25" s="51"/>
      <x:c r="D25" s="81" t="n">
        <x:v>1</x:v>
      </x:c>
      <x:c r="E25" s="81" t="n">
        <x:v>1</x:v>
      </x:c>
      <x:c r="F25" s="84" t="n">
        <x:v>1</x:v>
      </x:c>
      <x:c r="G25" s="53" t="n">
        <x:f>C25*D25*E25*F25</x:f>
        <x:v>0</x:v>
      </x:c>
      <x:c r="H25" s="84" t="n">
        <x:v>0.8</x:v>
      </x:c>
      <x:c r="I25" s="84" t="n">
        <x:v>1.2</x:v>
      </x:c>
      <x:c r="J25" s="53" t="n">
        <x:f>G25*H25</x:f>
        <x:v>0</x:v>
      </x:c>
      <x:c r="K25" s="53" t="n">
        <x:f>G25*I25</x:f>
        <x:v>0</x:v>
      </x:c>
      <x:c r="L25" s="98"/>
      <x:c r="M25" s="98"/>
      <x:c r="N25" s="98"/>
      <x:c r="O25" s="2"/>
      <x:c r="P25" s="2"/>
      <x:c r="Q25" s="2"/>
      <x:c r="R25" s="2"/>
    </x:row>
    <x:row r="26">
      <x:c r="A26" s="97"/>
      <x:c r="B26" s="98"/>
      <x:c r="C26" s="51"/>
      <x:c r="D26" s="81" t="n">
        <x:v>1</x:v>
      </x:c>
      <x:c r="E26" s="81" t="n">
        <x:v>1</x:v>
      </x:c>
      <x:c r="F26" s="84" t="n">
        <x:v>1</x:v>
      </x:c>
      <x:c r="G26" s="53" t="n">
        <x:f>C26*D26*E26*F26</x:f>
        <x:v>0</x:v>
      </x:c>
      <x:c r="H26" s="84" t="n">
        <x:v>0.8</x:v>
      </x:c>
      <x:c r="I26" s="84" t="n">
        <x:v>1.2</x:v>
      </x:c>
      <x:c r="J26" s="53" t="n">
        <x:f>G26*H26</x:f>
        <x:v>0</x:v>
      </x:c>
      <x:c r="K26" s="53" t="n">
        <x:f>G26*I26</x:f>
        <x:v>0</x:v>
      </x:c>
      <x:c r="L26" s="98"/>
      <x:c r="M26" s="98"/>
      <x:c r="N26" s="98"/>
      <x:c r="O26" s="2"/>
      <x:c r="P26" s="2"/>
      <x:c r="Q26" s="2"/>
      <x:c r="R26" s="2"/>
    </x:row>
    <x:row r="27">
      <x:c r="A27" s="97"/>
      <x:c r="B27" s="98"/>
      <x:c r="C27" s="51"/>
      <x:c r="D27" s="81" t="n">
        <x:v>1</x:v>
      </x:c>
      <x:c r="E27" s="81" t="n">
        <x:v>1</x:v>
      </x:c>
      <x:c r="F27" s="84" t="n">
        <x:v>1</x:v>
      </x:c>
      <x:c r="G27" s="53" t="n">
        <x:f>C27*D27*E27*F27</x:f>
        <x:v>0</x:v>
      </x:c>
      <x:c r="H27" s="84" t="n">
        <x:v>0.8</x:v>
      </x:c>
      <x:c r="I27" s="84" t="n">
        <x:v>1.2</x:v>
      </x:c>
      <x:c r="J27" s="53" t="n">
        <x:f>G27*H27</x:f>
        <x:v>0</x:v>
      </x:c>
      <x:c r="K27" s="53" t="n">
        <x:f>G27*I27</x:f>
        <x:v>0</x:v>
      </x:c>
      <x:c r="L27" s="98"/>
      <x:c r="M27" s="98"/>
      <x:c r="N27" s="98"/>
      <x:c r="O27" s="2"/>
      <x:c r="P27" s="2"/>
      <x:c r="Q27" s="2"/>
      <x:c r="R27" s="2"/>
    </x:row>
    <x:row r="28">
      <x:c r="A28" s="97"/>
      <x:c r="B28" s="98"/>
      <x:c r="C28" s="51"/>
      <x:c r="D28" s="81" t="n">
        <x:v>1</x:v>
      </x:c>
      <x:c r="E28" s="81" t="n">
        <x:v>1</x:v>
      </x:c>
      <x:c r="F28" s="84" t="n">
        <x:v>1</x:v>
      </x:c>
      <x:c r="G28" s="53" t="n">
        <x:f>C28*D28*E28*F28</x:f>
        <x:v>0</x:v>
      </x:c>
      <x:c r="H28" s="84" t="n">
        <x:v>0.8</x:v>
      </x:c>
      <x:c r="I28" s="84" t="n">
        <x:v>1.2</x:v>
      </x:c>
      <x:c r="J28" s="53" t="n">
        <x:f>G28*H28</x:f>
        <x:v>0</x:v>
      </x:c>
      <x:c r="K28" s="53" t="n">
        <x:f>G28*I28</x:f>
        <x:v>0</x:v>
      </x:c>
      <x:c r="L28" s="98"/>
      <x:c r="M28" s="98"/>
      <x:c r="N28" s="98"/>
      <x:c r="O28" s="2"/>
      <x:c r="P28" s="2"/>
      <x:c r="Q28" s="2"/>
      <x:c r="R28" s="2"/>
    </x:row>
    <x:row r="29">
      <x:c r="A29" s="97"/>
      <x:c r="B29" s="98"/>
      <x:c r="C29" s="51"/>
      <x:c r="D29" s="81" t="n">
        <x:v>1</x:v>
      </x:c>
      <x:c r="E29" s="81" t="n">
        <x:v>1</x:v>
      </x:c>
      <x:c r="F29" s="84" t="n">
        <x:v>1</x:v>
      </x:c>
      <x:c r="G29" s="53" t="n">
        <x:f>C29*D29*E29*F29</x:f>
        <x:v>0</x:v>
      </x:c>
      <x:c r="H29" s="84" t="n">
        <x:v>0.8</x:v>
      </x:c>
      <x:c r="I29" s="84" t="n">
        <x:v>1.2</x:v>
      </x:c>
      <x:c r="J29" s="53" t="n">
        <x:f>G29*H29</x:f>
        <x:v>0</x:v>
      </x:c>
      <x:c r="K29" s="53" t="n">
        <x:f>G29*I29</x:f>
        <x:v>0</x:v>
      </x:c>
      <x:c r="L29" s="98"/>
      <x:c r="M29" s="98"/>
      <x:c r="N29" s="98"/>
      <x:c r="O29" s="2"/>
      <x:c r="P29" s="2"/>
      <x:c r="Q29" s="2"/>
      <x:c r="R29" s="2"/>
    </x:row>
    <x:row r="30">
      <x:c r="A30" s="97"/>
      <x:c r="B30" s="98"/>
      <x:c r="C30" s="51"/>
      <x:c r="D30" s="81" t="n">
        <x:v>1</x:v>
      </x:c>
      <x:c r="E30" s="81" t="n">
        <x:v>1</x:v>
      </x:c>
      <x:c r="F30" s="84" t="n">
        <x:v>1</x:v>
      </x:c>
      <x:c r="G30" s="53" t="n">
        <x:f>C30*D30*E30*F30</x:f>
        <x:v>0</x:v>
      </x:c>
      <x:c r="H30" s="84" t="n">
        <x:v>0.8</x:v>
      </x:c>
      <x:c r="I30" s="84" t="n">
        <x:v>1.2</x:v>
      </x:c>
      <x:c r="J30" s="53" t="n">
        <x:f>G30*H30</x:f>
        <x:v>0</x:v>
      </x:c>
      <x:c r="K30" s="53" t="n">
        <x:f>G30*I30</x:f>
        <x:v>0</x:v>
      </x:c>
      <x:c r="L30" s="98"/>
      <x:c r="M30" s="98"/>
      <x:c r="N30" s="98"/>
      <x:c r="O30" s="2"/>
      <x:c r="P30" s="2"/>
      <x:c r="Q30" s="2"/>
      <x:c r="R30" s="2"/>
    </x:row>
    <x:row r="31">
      <x:c r="A31" s="97"/>
      <x:c r="B31" s="98"/>
      <x:c r="C31" s="51"/>
      <x:c r="D31" s="81" t="n">
        <x:v>1</x:v>
      </x:c>
      <x:c r="E31" s="81" t="n">
        <x:v>1</x:v>
      </x:c>
      <x:c r="F31" s="84" t="n">
        <x:v>1</x:v>
      </x:c>
      <x:c r="G31" s="53" t="n">
        <x:f>C31*D31*E31*F31</x:f>
        <x:v>0</x:v>
      </x:c>
      <x:c r="H31" s="84" t="n">
        <x:v>0.8</x:v>
      </x:c>
      <x:c r="I31" s="84" t="n">
        <x:v>1.2</x:v>
      </x:c>
      <x:c r="J31" s="53" t="n">
        <x:f>G31*H31</x:f>
        <x:v>0</x:v>
      </x:c>
      <x:c r="K31" s="53" t="n">
        <x:f>G31*I31</x:f>
        <x:v>0</x:v>
      </x:c>
      <x:c r="L31" s="98"/>
      <x:c r="M31" s="98"/>
      <x:c r="N31" s="98"/>
      <x:c r="O31" s="2"/>
      <x:c r="P31" s="2"/>
      <x:c r="Q31" s="2"/>
      <x:c r="R31" s="2"/>
    </x:row>
    <x:row r="32">
      <x:c r="A32" s="97"/>
      <x:c r="B32" s="98"/>
      <x:c r="C32" s="51"/>
      <x:c r="D32" s="81" t="n">
        <x:v>1</x:v>
      </x:c>
      <x:c r="E32" s="81" t="n">
        <x:v>1</x:v>
      </x:c>
      <x:c r="F32" s="84" t="n">
        <x:v>1</x:v>
      </x:c>
      <x:c r="G32" s="53" t="n">
        <x:f>C32*D32*E32*F32</x:f>
        <x:v>0</x:v>
      </x:c>
      <x:c r="H32" s="84" t="n">
        <x:v>0.8</x:v>
      </x:c>
      <x:c r="I32" s="84" t="n">
        <x:v>1.2</x:v>
      </x:c>
      <x:c r="J32" s="53" t="n">
        <x:f>G32*H32</x:f>
        <x:v>0</x:v>
      </x:c>
      <x:c r="K32" s="53" t="n">
        <x:f>G32*I32</x:f>
        <x:v>0</x:v>
      </x:c>
      <x:c r="L32" s="98"/>
      <x:c r="M32" s="98"/>
      <x:c r="N32" s="98"/>
      <x:c r="O32" s="2"/>
      <x:c r="P32" s="2"/>
      <x:c r="Q32" s="2"/>
      <x:c r="R32" s="2"/>
    </x:row>
    <x:row r="33">
      <x:c r="A33" s="97"/>
      <x:c r="B33" s="98"/>
      <x:c r="C33" s="51"/>
      <x:c r="D33" s="81" t="n">
        <x:v>1</x:v>
      </x:c>
      <x:c r="E33" s="81" t="n">
        <x:v>1</x:v>
      </x:c>
      <x:c r="F33" s="84" t="n">
        <x:v>1</x:v>
      </x:c>
      <x:c r="G33" s="53" t="n">
        <x:f>C33*D33*E33*F33</x:f>
        <x:v>0</x:v>
      </x:c>
      <x:c r="H33" s="84" t="n">
        <x:v>0.8</x:v>
      </x:c>
      <x:c r="I33" s="84" t="n">
        <x:v>1.2</x:v>
      </x:c>
      <x:c r="J33" s="53" t="n">
        <x:f>G33*H33</x:f>
        <x:v>0</x:v>
      </x:c>
      <x:c r="K33" s="53" t="n">
        <x:f>G33*I33</x:f>
        <x:v>0</x:v>
      </x:c>
      <x:c r="L33" s="98"/>
      <x:c r="M33" s="98"/>
      <x:c r="N33" s="98"/>
      <x:c r="O33" s="2"/>
      <x:c r="P33" s="2"/>
      <x:c r="Q33" s="2"/>
      <x:c r="R33" s="2"/>
    </x:row>
    <x:row r="34">
      <x:c r="A34" s="97" t="str">
        <x:v>其他可识别私营/专业工具</x:v>
      </x:c>
      <x:c r="B34" s="98" t="str">
        <x:v>组件加总</x:v>
      </x:c>
      <x:c r="C34" s="51" t="n">
        <x:f>Q11</x:f>
        <x:v>0</x:v>
      </x:c>
      <x:c r="D34" s="81" t="n">
        <x:v>1</x:v>
      </x:c>
      <x:c r="E34" s="81" t="n">
        <x:v>1</x:v>
      </x:c>
      <x:c r="F34" s="84" t="n">
        <x:v>1</x:v>
      </x:c>
      <x:c r="G34" s="53" t="n">
        <x:f>C34*D34*E34*F34</x:f>
        <x:v>0</x:v>
      </x:c>
      <x:c r="H34" s="84" t="n">
        <x:v>0.6</x:v>
      </x:c>
      <x:c r="I34" s="84" t="n">
        <x:v>1.5</x:v>
      </x:c>
      <x:c r="J34" s="53" t="n">
        <x:f>G34*H34</x:f>
        <x:v>0</x:v>
      </x:c>
      <x:c r="K34" s="53" t="n">
        <x:f>G34*I34</x:f>
        <x:v>0</x:v>
      </x:c>
      <x:c r="L34" s="98" t="str">
        <x:v>右侧组件表</x:v>
      </x:c>
      <x:c r="M34" s="98" t="str">
        <x:v>右侧组件加总</x:v>
      </x:c>
      <x:c r="N34" s="98" t="str">
        <x:v>公司不披露；必须解释组件和区间</x:v>
      </x:c>
      <x:c r="O34" s="2"/>
      <x:c r="P34" s="2"/>
      <x:c r="Q34" s="2"/>
      <x:c r="R34" s="2"/>
    </x:row>
    <x:row r="35">
      <x:c r="A35" s="97" t="str">
        <x:v>平台捆绑与长尾未披露收入</x:v>
      </x:c>
      <x:c r="B35" s="98" t="str">
        <x:v>组件加总</x:v>
      </x:c>
      <x:c r="C35" s="51" t="n">
        <x:f>Q19</x:f>
        <x:v>0</x:v>
      </x:c>
      <x:c r="D35" s="81" t="n">
        <x:v>1</x:v>
      </x:c>
      <x:c r="E35" s="81" t="n">
        <x:v>1</x:v>
      </x:c>
      <x:c r="F35" s="84" t="n">
        <x:v>1</x:v>
      </x:c>
      <x:c r="G35" s="53" t="n">
        <x:f>C35*D35*E35*F35</x:f>
        <x:v>0</x:v>
      </x:c>
      <x:c r="H35" s="84" t="n">
        <x:v>0.65</x:v>
      </x:c>
      <x:c r="I35" s="84" t="n">
        <x:v>1.35</x:v>
      </x:c>
      <x:c r="J35" s="53" t="n">
        <x:f>G35*H35</x:f>
        <x:v>0</x:v>
      </x:c>
      <x:c r="K35" s="53" t="n">
        <x:f>G35*I35</x:f>
        <x:v>0</x:v>
      </x:c>
      <x:c r="L35" s="98" t="str">
        <x:v>右侧组件表</x:v>
      </x:c>
      <x:c r="M35" s="98" t="str">
        <x:v>右侧组件加总</x:v>
      </x:c>
      <x:c r="N35" s="98" t="str">
        <x:v>捆绑价值难拆分；必须解释组件和区间</x:v>
      </x:c>
      <x:c r="O35" s="2"/>
      <x:c r="P35" s="2"/>
      <x:c r="Q35" s="2"/>
      <x:c r="R35" s="2"/>
    </x:row>
    <x:row r="36">
      <x:c r="A36" s="56"/>
      <x:c r="B36" s="25"/>
      <x:c r="C36" s="25"/>
      <x:c r="D36" s="25"/>
      <x:c r="E36" s="25"/>
      <x:c r="F36" s="25"/>
      <x:c r="G36" s="86"/>
      <x:c r="H36" s="25"/>
      <x:c r="I36" s="25"/>
      <x:c r="J36" s="86"/>
      <x:c r="K36" s="86"/>
      <x:c r="L36" s="25"/>
      <x:c r="M36" s="25"/>
      <x:c r="N36" s="25"/>
      <x:c r="O36" s="2"/>
      <x:c r="P36" s="2"/>
      <x:c r="Q36" s="2"/>
      <x:c r="R36" s="2"/>
    </x:row>
    <x:row r="37">
      <x:c r="A37" s="87" t="str">
        <x:v>合计</x:v>
      </x:c>
      <x:c r="B37" s="14"/>
      <x:c r="C37" s="14"/>
      <x:c r="D37" s="14"/>
      <x:c r="E37" s="14"/>
      <x:c r="F37" s="14"/>
      <x:c r="G37" s="89" t="n">
        <x:f>SUM(G6:G35)</x:f>
        <x:v>0</x:v>
      </x:c>
      <x:c r="H37" s="14"/>
      <x:c r="I37" s="14"/>
      <x:c r="J37" s="89" t="n">
        <x:f>SUM(J6:J35)</x:f>
        <x:v>0</x:v>
      </x:c>
      <x:c r="K37" s="89" t="n">
        <x:f>SUM(K6:K35)</x:f>
        <x:v>0</x:v>
      </x:c>
      <x:c r="L37" s="14"/>
      <x:c r="M37" s="14"/>
      <x:c r="N37" s="14"/>
      <x:c r="O37" s="2"/>
      <x:c r="P37" s="2"/>
      <x:c r="Q37" s="2"/>
      <x:c r="R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>
      <x:c r="A39" s="91" t="str">
        <x:v>定义：Point 是当前最可能估值；Low / High 是基于来源可靠性、时点、口径匹配、覆盖和透明度形成的模型边界，不是统计置信区间。基准年换算系数用于把来源期间、ARR、run-rate、汇率或部分期间统一到模型基准年；若已是基准年指引或当前 run-rate，取 1.0。</x:v>
      </x:c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2"/>
      <x:c r="P39" s="2"/>
      <x:c r="Q39" s="2"/>
      <x:c r="R39" s="2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2"/>
      <x:c r="P40" s="2"/>
      <x:c r="Q40" s="2"/>
      <x:c r="R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</x:sheetData>
  <x:mergeCells>
    <x:mergeCell ref="A1:R1"/>
    <x:mergeCell ref="A2:R2"/>
    <x:mergeCell ref="A37:F37"/>
    <x:mergeCell ref="A39:N40"/>
    <x:mergeCell ref="O13:R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8" hidden="0" customWidth="1"/>
    <x:col min="11" max="11" width="24" hidden="0" customWidth="1"/>
  </x:cols>
  <x:sheetData>
    <x:row r="1" ht="34" customHeight="1">
      <x:c r="A1" s="4" t="str">
        <x:v>08｜公司倒推与模块拆分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7" t="str">
        <x:v>用相关收入 ÷ 可比收入市占倒推市场；模块拆分必须扣除通道、传导和重叠。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9" t="str">
        <x:v>龙头 / 上市公司倒推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 ht="30" customHeight="1">
      <x:c r="A5" s="39" t="str">
        <x:v>公司 / 产品</x:v>
      </x:c>
      <x:c r="B5" s="40" t="str">
        <x:v>相关收入</x:v>
      </x:c>
      <x:c r="C5" s="40" t="str">
        <x:v>市占 Point</x:v>
      </x:c>
      <x:c r="D5" s="40" t="str">
        <x:v>市占 Low</x:v>
      </x:c>
      <x:c r="E5" s="40" t="str">
        <x:v>市占 High</x:v>
      </x:c>
      <x:c r="F5" s="40" t="str">
        <x:v>市场 Point</x:v>
      </x:c>
      <x:c r="G5" s="40" t="str">
        <x:v>市场 Low</x:v>
      </x:c>
      <x:c r="H5" s="40" t="str">
        <x:v>市场 High</x:v>
      </x:c>
      <x:c r="I5" s="40" t="str">
        <x:v>权重</x:v>
      </x:c>
      <x:c r="J5" s="40" t="str">
        <x:v>加权 Point</x:v>
      </x:c>
      <x:c r="K5" s="40" t="str">
        <x:v>来源 IDs</x:v>
      </x:c>
    </x:row>
    <x:row r="6">
      <x:c r="A6" s="65"/>
      <x:c r="B6" s="83"/>
      <x:c r="C6" s="81"/>
      <x:c r="D6" s="81"/>
      <x:c r="E6" s="81"/>
      <x:c r="F6" s="53" t="n">
        <x:f>IFERROR(B6/C6,0)</x:f>
        <x:v>0</x:v>
      </x:c>
      <x:c r="G6" s="53" t="n">
        <x:f>IFERROR(B6/E6,0)</x:f>
        <x:v>0</x:v>
      </x:c>
      <x:c r="H6" s="53" t="n">
        <x:f>IFERROR(B6/D6,0)</x:f>
        <x:v>0</x:v>
      </x:c>
      <x:c r="I6" s="81"/>
      <x:c r="J6" s="53" t="n">
        <x:f>F6*I6</x:f>
        <x:v>0</x:v>
      </x:c>
      <x:c r="K6" s="66"/>
    </x:row>
    <x:row r="7">
      <x:c r="A7" s="65"/>
      <x:c r="B7" s="83"/>
      <x:c r="C7" s="81"/>
      <x:c r="D7" s="81"/>
      <x:c r="E7" s="81"/>
      <x:c r="F7" s="53" t="n">
        <x:f>IFERROR(B7/C7,0)</x:f>
        <x:v>0</x:v>
      </x:c>
      <x:c r="G7" s="53" t="n">
        <x:f>IFERROR(B7/E7,0)</x:f>
        <x:v>0</x:v>
      </x:c>
      <x:c r="H7" s="53" t="n">
        <x:f>IFERROR(B7/D7,0)</x:f>
        <x:v>0</x:v>
      </x:c>
      <x:c r="I7" s="81"/>
      <x:c r="J7" s="53" t="n">
        <x:f>F7*I7</x:f>
        <x:v>0</x:v>
      </x:c>
      <x:c r="K7" s="66"/>
    </x:row>
    <x:row r="8">
      <x:c r="A8" s="65"/>
      <x:c r="B8" s="83"/>
      <x:c r="C8" s="81"/>
      <x:c r="D8" s="81"/>
      <x:c r="E8" s="81"/>
      <x:c r="F8" s="53" t="n">
        <x:f>IFERROR(B8/C8,0)</x:f>
        <x:v>0</x:v>
      </x:c>
      <x:c r="G8" s="53" t="n">
        <x:f>IFERROR(B8/E8,0)</x:f>
        <x:v>0</x:v>
      </x:c>
      <x:c r="H8" s="53" t="n">
        <x:f>IFERROR(B8/D8,0)</x:f>
        <x:v>0</x:v>
      </x:c>
      <x:c r="I8" s="81"/>
      <x:c r="J8" s="53" t="n">
        <x:f>F8*I8</x:f>
        <x:v>0</x:v>
      </x:c>
      <x:c r="K8" s="66"/>
    </x:row>
    <x:row r="9">
      <x:c r="A9" s="65"/>
      <x:c r="B9" s="83"/>
      <x:c r="C9" s="81"/>
      <x:c r="D9" s="81"/>
      <x:c r="E9" s="81"/>
      <x:c r="F9" s="53" t="n">
        <x:f>IFERROR(B9/C9,0)</x:f>
        <x:v>0</x:v>
      </x:c>
      <x:c r="G9" s="53" t="n">
        <x:f>IFERROR(B9/E9,0)</x:f>
        <x:v>0</x:v>
      </x:c>
      <x:c r="H9" s="53" t="n">
        <x:f>IFERROR(B9/D9,0)</x:f>
        <x:v>0</x:v>
      </x:c>
      <x:c r="I9" s="81"/>
      <x:c r="J9" s="53" t="n">
        <x:f>F9*I9</x:f>
        <x:v>0</x:v>
      </x:c>
      <x:c r="K9" s="66"/>
    </x:row>
    <x:row r="10">
      <x:c r="A10" s="65"/>
      <x:c r="B10" s="83"/>
      <x:c r="C10" s="81"/>
      <x:c r="D10" s="81"/>
      <x:c r="E10" s="81"/>
      <x:c r="F10" s="53" t="n">
        <x:f>IFERROR(B10/C10,0)</x:f>
        <x:v>0</x:v>
      </x:c>
      <x:c r="G10" s="53" t="n">
        <x:f>IFERROR(B10/E10,0)</x:f>
        <x:v>0</x:v>
      </x:c>
      <x:c r="H10" s="53" t="n">
        <x:f>IFERROR(B10/D10,0)</x:f>
        <x:v>0</x:v>
      </x:c>
      <x:c r="I10" s="81"/>
      <x:c r="J10" s="53" t="n">
        <x:f>F10*I10</x:f>
        <x:v>0</x:v>
      </x:c>
      <x:c r="K10" s="66"/>
    </x:row>
    <x:row r="11">
      <x:c r="A11" s="65"/>
      <x:c r="B11" s="83"/>
      <x:c r="C11" s="81"/>
      <x:c r="D11" s="81"/>
      <x:c r="E11" s="81"/>
      <x:c r="F11" s="53" t="n">
        <x:f>IFERROR(B11/C11,0)</x:f>
        <x:v>0</x:v>
      </x:c>
      <x:c r="G11" s="53" t="n">
        <x:f>IFERROR(B11/E11,0)</x:f>
        <x:v>0</x:v>
      </x:c>
      <x:c r="H11" s="53" t="n">
        <x:f>IFERROR(B11/D11,0)</x:f>
        <x:v>0</x:v>
      </x:c>
      <x:c r="I11" s="81"/>
      <x:c r="J11" s="53" t="n">
        <x:f>F11*I11</x:f>
        <x:v>0</x:v>
      </x:c>
      <x:c r="K11" s="66"/>
    </x:row>
    <x:row r="12">
      <x:c r="A12" s="65"/>
      <x:c r="B12" s="83"/>
      <x:c r="C12" s="81"/>
      <x:c r="D12" s="81"/>
      <x:c r="E12" s="81"/>
      <x:c r="F12" s="53" t="n">
        <x:f>IFERROR(B12/C12,0)</x:f>
        <x:v>0</x:v>
      </x:c>
      <x:c r="G12" s="53" t="n">
        <x:f>IFERROR(B12/E12,0)</x:f>
        <x:v>0</x:v>
      </x:c>
      <x:c r="H12" s="53" t="n">
        <x:f>IFERROR(B12/D12,0)</x:f>
        <x:v>0</x:v>
      </x:c>
      <x:c r="I12" s="81"/>
      <x:c r="J12" s="53" t="n">
        <x:f>F12*I12</x:f>
        <x:v>0</x:v>
      </x:c>
      <x:c r="K12" s="66"/>
    </x:row>
    <x:row r="13">
      <x:c r="A13" s="65"/>
      <x:c r="B13" s="83"/>
      <x:c r="C13" s="81"/>
      <x:c r="D13" s="81"/>
      <x:c r="E13" s="81"/>
      <x:c r="F13" s="53" t="n">
        <x:f>IFERROR(B13/C13,0)</x:f>
        <x:v>0</x:v>
      </x:c>
      <x:c r="G13" s="53" t="n">
        <x:f>IFERROR(B13/E13,0)</x:f>
        <x:v>0</x:v>
      </x:c>
      <x:c r="H13" s="53" t="n">
        <x:f>IFERROR(B13/D13,0)</x:f>
        <x:v>0</x:v>
      </x:c>
      <x:c r="I13" s="81"/>
      <x:c r="J13" s="53" t="n">
        <x:f>F13*I13</x:f>
        <x:v>0</x:v>
      </x:c>
      <x:c r="K13" s="66"/>
    </x:row>
    <x:row r="14">
      <x:c r="A14" s="65"/>
      <x:c r="B14" s="83"/>
      <x:c r="C14" s="81"/>
      <x:c r="D14" s="81"/>
      <x:c r="E14" s="81"/>
      <x:c r="F14" s="53" t="n">
        <x:f>IFERROR(B14/C14,0)</x:f>
        <x:v>0</x:v>
      </x:c>
      <x:c r="G14" s="53" t="n">
        <x:f>IFERROR(B14/E14,0)</x:f>
        <x:v>0</x:v>
      </x:c>
      <x:c r="H14" s="53" t="n">
        <x:f>IFERROR(B14/D14,0)</x:f>
        <x:v>0</x:v>
      </x:c>
      <x:c r="I14" s="81"/>
      <x:c r="J14" s="53" t="n">
        <x:f>F14*I14</x:f>
        <x:v>0</x:v>
      </x:c>
      <x:c r="K14" s="66"/>
    </x:row>
    <x:row r="15">
      <x:c r="A15" s="65"/>
      <x:c r="B15" s="83"/>
      <x:c r="C15" s="81"/>
      <x:c r="D15" s="81"/>
      <x:c r="E15" s="81"/>
      <x:c r="F15" s="53" t="n">
        <x:f>IFERROR(B15/C15,0)</x:f>
        <x:v>0</x:v>
      </x:c>
      <x:c r="G15" s="53" t="n">
        <x:f>IFERROR(B15/E15,0)</x:f>
        <x:v>0</x:v>
      </x:c>
      <x:c r="H15" s="53" t="n">
        <x:f>IFERROR(B15/D15,0)</x:f>
        <x:v>0</x:v>
      </x:c>
      <x:c r="I15" s="81"/>
      <x:c r="J15" s="53" t="n">
        <x:f>F15*I15</x:f>
        <x:v>0</x:v>
      </x:c>
      <x:c r="K15" s="66"/>
    </x:row>
    <x:row r="16">
      <x:c r="A16" s="65"/>
      <x:c r="B16" s="83"/>
      <x:c r="C16" s="81"/>
      <x:c r="D16" s="81"/>
      <x:c r="E16" s="81"/>
      <x:c r="F16" s="53" t="n">
        <x:f>IFERROR(B16/C16,0)</x:f>
        <x:v>0</x:v>
      </x:c>
      <x:c r="G16" s="53" t="n">
        <x:f>IFERROR(B16/E16,0)</x:f>
        <x:v>0</x:v>
      </x:c>
      <x:c r="H16" s="53" t="n">
        <x:f>IFERROR(B16/D16,0)</x:f>
        <x:v>0</x:v>
      </x:c>
      <x:c r="I16" s="81"/>
      <x:c r="J16" s="53" t="n">
        <x:f>F16*I16</x:f>
        <x:v>0</x:v>
      </x:c>
      <x:c r="K16" s="66"/>
    </x:row>
    <x:row r="17">
      <x:c r="A17" s="65"/>
      <x:c r="B17" s="83"/>
      <x:c r="C17" s="81"/>
      <x:c r="D17" s="81"/>
      <x:c r="E17" s="81"/>
      <x:c r="F17" s="53" t="n">
        <x:f>IFERROR(B17/C17,0)</x:f>
        <x:v>0</x:v>
      </x:c>
      <x:c r="G17" s="53" t="n">
        <x:f>IFERROR(B17/E17,0)</x:f>
        <x:v>0</x:v>
      </x:c>
      <x:c r="H17" s="53" t="n">
        <x:f>IFERROR(B17/D17,0)</x:f>
        <x:v>0</x:v>
      </x:c>
      <x:c r="I17" s="81"/>
      <x:c r="J17" s="53" t="n">
        <x:f>F17*I17</x:f>
        <x:v>0</x:v>
      </x:c>
      <x:c r="K17" s="66"/>
    </x:row>
    <x:row r="18">
      <x:c r="A18" s="65"/>
      <x:c r="B18" s="83"/>
      <x:c r="C18" s="81"/>
      <x:c r="D18" s="81"/>
      <x:c r="E18" s="81"/>
      <x:c r="F18" s="53" t="n">
        <x:f>IFERROR(B18/C18,0)</x:f>
        <x:v>0</x:v>
      </x:c>
      <x:c r="G18" s="53" t="n">
        <x:f>IFERROR(B18/E18,0)</x:f>
        <x:v>0</x:v>
      </x:c>
      <x:c r="H18" s="53" t="n">
        <x:f>IFERROR(B18/D18,0)</x:f>
        <x:v>0</x:v>
      </x:c>
      <x:c r="I18" s="81"/>
      <x:c r="J18" s="53" t="n">
        <x:f>F18*I18</x:f>
        <x:v>0</x:v>
      </x:c>
      <x:c r="K18" s="66"/>
    </x:row>
    <x:row r="19">
      <x:c r="A19" s="65"/>
      <x:c r="B19" s="83"/>
      <x:c r="C19" s="81"/>
      <x:c r="D19" s="81"/>
      <x:c r="E19" s="81"/>
      <x:c r="F19" s="53" t="n">
        <x:f>IFERROR(B19/C19,0)</x:f>
        <x:v>0</x:v>
      </x:c>
      <x:c r="G19" s="53" t="n">
        <x:f>IFERROR(B19/E19,0)</x:f>
        <x:v>0</x:v>
      </x:c>
      <x:c r="H19" s="53" t="n">
        <x:f>IFERROR(B19/D19,0)</x:f>
        <x:v>0</x:v>
      </x:c>
      <x:c r="I19" s="81"/>
      <x:c r="J19" s="53" t="n">
        <x:f>F19*I19</x:f>
        <x:v>0</x:v>
      </x:c>
      <x:c r="K19" s="66"/>
    </x:row>
    <x:row r="20">
      <x:c r="A20" s="65"/>
      <x:c r="B20" s="83"/>
      <x:c r="C20" s="81"/>
      <x:c r="D20" s="81"/>
      <x:c r="E20" s="81"/>
      <x:c r="F20" s="53" t="n">
        <x:f>IFERROR(B20/C20,0)</x:f>
        <x:v>0</x:v>
      </x:c>
      <x:c r="G20" s="53" t="n">
        <x:f>IFERROR(B20/E20,0)</x:f>
        <x:v>0</x:v>
      </x:c>
      <x:c r="H20" s="53" t="n">
        <x:f>IFERROR(B20/D20,0)</x:f>
        <x:v>0</x:v>
      </x:c>
      <x:c r="I20" s="81"/>
      <x:c r="J20" s="53" t="n">
        <x:f>F20*I20</x:f>
        <x:v>0</x:v>
      </x:c>
      <x:c r="K20" s="66"/>
    </x:row>
    <x:row r="21">
      <x:c r="A21" s="56"/>
      <x:c r="B21" s="25"/>
      <x:c r="C21" s="25"/>
      <x:c r="D21" s="25"/>
      <x:c r="E21" s="25"/>
      <x:c r="F21" s="53"/>
      <x:c r="G21" s="53"/>
      <x:c r="H21" s="53"/>
      <x:c r="I21" s="25"/>
      <x:c r="J21" s="25"/>
      <x:c r="K21" s="25"/>
    </x:row>
    <x:row r="22">
      <x:c r="A22" s="87" t="str">
        <x:v>加权隐含市场</x:v>
      </x:c>
      <x:c r="B22" s="14"/>
      <x:c r="C22" s="14"/>
      <x:c r="D22" s="14"/>
      <x:c r="E22" s="14"/>
      <x:c r="F22" s="110" t="n">
        <x:f>IFERROR(SUM(J6:J20)/SUM(I6:I20),0)</x:f>
        <x:v>0</x:v>
      </x:c>
      <x:c r="G22" s="110" t="n">
        <x:f>IFERROR(SUMPRODUCT(G6:G20,I6:I20)/SUM(I6:I20),0)</x:f>
        <x:v>0</x:v>
      </x:c>
      <x:c r="H22" s="110" t="n">
        <x:f>IFERROR(SUMPRODUCT(H6:H20,I6:I20)/SUM(I6:I20),0)</x:f>
        <x:v>0</x:v>
      </x:c>
      <x:c r="I22" s="14"/>
      <x:c r="J22" s="14"/>
      <x:c r="K22" s="14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2" customHeight="1">
      <x:c r="A25" s="9" t="str">
        <x:v>市场模块拆分</x:v>
      </x:c>
      <x:c r="B25" s="9"/>
      <x:c r="C25" s="9"/>
      <x:c r="D25" s="9"/>
      <x:c r="E25" s="9"/>
      <x:c r="F25" s="9"/>
      <x:c r="G25" s="9"/>
      <x:c r="H25" s="9"/>
      <x:c r="I25" s="9"/>
      <x:c r="J25" s="9"/>
      <x:c r="K25" s="9"/>
    </x:row>
    <x:row r="26" ht="30" customHeight="1">
      <x:c r="A26" s="39" t="str">
        <x:v>模块</x:v>
      </x:c>
      <x:c r="B26" s="40" t="str">
        <x:v>模块收入基数（USD mm）</x:v>
      </x:c>
      <x:c r="C26" s="40" t="str">
        <x:v>纳入比例（%）</x:v>
      </x:c>
      <x:c r="D26" s="40" t="str">
        <x:v>模块间重叠（%）</x:v>
      </x:c>
      <x:c r="E26" s="40" t="str">
        <x:v>Point净收入（USD mm）</x:v>
      </x:c>
      <x:c r="F26" s="40" t="str">
        <x:v>Low系数（x）</x:v>
      </x:c>
      <x:c r="G26" s="40" t="str">
        <x:v>High系数（x）</x:v>
      </x:c>
      <x:c r="H26" s="40" t="str">
        <x:v>Low收入（USD mm）</x:v>
      </x:c>
      <x:c r="I26" s="40" t="str">
        <x:v>High收入（USD mm）</x:v>
      </x:c>
      <x:c r="J26" s="40" t="str">
        <x:v>来源/假设</x:v>
      </x:c>
      <x:c r="K26" s="2"/>
    </x:row>
    <x:row r="27">
      <x:c r="A27" s="65"/>
      <x:c r="B27" s="83"/>
      <x:c r="C27" s="81" t="n">
        <x:v>1</x:v>
      </x:c>
      <x:c r="D27" s="81" t="n">
        <x:v>0</x:v>
      </x:c>
      <x:c r="E27" s="53" t="n">
        <x:f>B27*C27*(1-D27)</x:f>
        <x:v>0</x:v>
      </x:c>
      <x:c r="F27" s="84" t="n">
        <x:v>0.8</x:v>
      </x:c>
      <x:c r="G27" s="84" t="n">
        <x:v>1.2</x:v>
      </x:c>
      <x:c r="H27" s="53" t="n">
        <x:f>E27*F27</x:f>
        <x:v>0</x:v>
      </x:c>
      <x:c r="I27" s="53" t="n">
        <x:f>E27*G27</x:f>
        <x:v>0</x:v>
      </x:c>
      <x:c r="J27" s="66"/>
      <x:c r="K27" s="2"/>
    </x:row>
    <x:row r="28">
      <x:c r="A28" s="65"/>
      <x:c r="B28" s="83"/>
      <x:c r="C28" s="81" t="n">
        <x:v>1</x:v>
      </x:c>
      <x:c r="D28" s="81" t="n">
        <x:v>0</x:v>
      </x:c>
      <x:c r="E28" s="53" t="n">
        <x:f>B28*C28*(1-D28)</x:f>
        <x:v>0</x:v>
      </x:c>
      <x:c r="F28" s="84" t="n">
        <x:v>0.8</x:v>
      </x:c>
      <x:c r="G28" s="84" t="n">
        <x:v>1.2</x:v>
      </x:c>
      <x:c r="H28" s="53" t="n">
        <x:f>E28*F28</x:f>
        <x:v>0</x:v>
      </x:c>
      <x:c r="I28" s="53" t="n">
        <x:f>E28*G28</x:f>
        <x:v>0</x:v>
      </x:c>
      <x:c r="J28" s="66"/>
      <x:c r="K28" s="2"/>
    </x:row>
    <x:row r="29">
      <x:c r="A29" s="65"/>
      <x:c r="B29" s="83"/>
      <x:c r="C29" s="81" t="n">
        <x:v>1</x:v>
      </x:c>
      <x:c r="D29" s="81" t="n">
        <x:v>0</x:v>
      </x:c>
      <x:c r="E29" s="53" t="n">
        <x:f>B29*C29*(1-D29)</x:f>
        <x:v>0</x:v>
      </x:c>
      <x:c r="F29" s="84" t="n">
        <x:v>0.8</x:v>
      </x:c>
      <x:c r="G29" s="84" t="n">
        <x:v>1.2</x:v>
      </x:c>
      <x:c r="H29" s="53" t="n">
        <x:f>E29*F29</x:f>
        <x:v>0</x:v>
      </x:c>
      <x:c r="I29" s="53" t="n">
        <x:f>E29*G29</x:f>
        <x:v>0</x:v>
      </x:c>
      <x:c r="J29" s="66"/>
      <x:c r="K29" s="2"/>
    </x:row>
    <x:row r="30">
      <x:c r="A30" s="65"/>
      <x:c r="B30" s="83"/>
      <x:c r="C30" s="81" t="n">
        <x:v>1</x:v>
      </x:c>
      <x:c r="D30" s="81" t="n">
        <x:v>0</x:v>
      </x:c>
      <x:c r="E30" s="53" t="n">
        <x:f>B30*C30*(1-D30)</x:f>
        <x:v>0</x:v>
      </x:c>
      <x:c r="F30" s="84" t="n">
        <x:v>0.8</x:v>
      </x:c>
      <x:c r="G30" s="84" t="n">
        <x:v>1.2</x:v>
      </x:c>
      <x:c r="H30" s="53" t="n">
        <x:f>E30*F30</x:f>
        <x:v>0</x:v>
      </x:c>
      <x:c r="I30" s="53" t="n">
        <x:f>E30*G30</x:f>
        <x:v>0</x:v>
      </x:c>
      <x:c r="J30" s="66"/>
      <x:c r="K30" s="2"/>
    </x:row>
    <x:row r="31">
      <x:c r="A31" s="65"/>
      <x:c r="B31" s="83"/>
      <x:c r="C31" s="81" t="n">
        <x:v>1</x:v>
      </x:c>
      <x:c r="D31" s="81" t="n">
        <x:v>0</x:v>
      </x:c>
      <x:c r="E31" s="53" t="n">
        <x:f>B31*C31*(1-D31)</x:f>
        <x:v>0</x:v>
      </x:c>
      <x:c r="F31" s="84" t="n">
        <x:v>0.8</x:v>
      </x:c>
      <x:c r="G31" s="84" t="n">
        <x:v>1.2</x:v>
      </x:c>
      <x:c r="H31" s="53" t="n">
        <x:f>E31*F31</x:f>
        <x:v>0</x:v>
      </x:c>
      <x:c r="I31" s="53" t="n">
        <x:f>E31*G31</x:f>
        <x:v>0</x:v>
      </x:c>
      <x:c r="J31" s="66"/>
      <x:c r="K31" s="2"/>
    </x:row>
    <x:row r="32">
      <x:c r="A32" s="65"/>
      <x:c r="B32" s="83"/>
      <x:c r="C32" s="81" t="n">
        <x:v>1</x:v>
      </x:c>
      <x:c r="D32" s="81" t="n">
        <x:v>0</x:v>
      </x:c>
      <x:c r="E32" s="53" t="n">
        <x:f>B32*C32*(1-D32)</x:f>
        <x:v>0</x:v>
      </x:c>
      <x:c r="F32" s="84" t="n">
        <x:v>0.8</x:v>
      </x:c>
      <x:c r="G32" s="84" t="n">
        <x:v>1.2</x:v>
      </x:c>
      <x:c r="H32" s="53" t="n">
        <x:f>E32*F32</x:f>
        <x:v>0</x:v>
      </x:c>
      <x:c r="I32" s="53" t="n">
        <x:f>E32*G32</x:f>
        <x:v>0</x:v>
      </x:c>
      <x:c r="J32" s="66"/>
      <x:c r="K32" s="2"/>
    </x:row>
    <x:row r="33">
      <x:c r="A33" s="65"/>
      <x:c r="B33" s="83"/>
      <x:c r="C33" s="81" t="n">
        <x:v>1</x:v>
      </x:c>
      <x:c r="D33" s="81" t="n">
        <x:v>0</x:v>
      </x:c>
      <x:c r="E33" s="53" t="n">
        <x:f>B33*C33*(1-D33)</x:f>
        <x:v>0</x:v>
      </x:c>
      <x:c r="F33" s="84" t="n">
        <x:v>0.8</x:v>
      </x:c>
      <x:c r="G33" s="84" t="n">
        <x:v>1.2</x:v>
      </x:c>
      <x:c r="H33" s="53" t="n">
        <x:f>E33*F33</x:f>
        <x:v>0</x:v>
      </x:c>
      <x:c r="I33" s="53" t="n">
        <x:f>E33*G33</x:f>
        <x:v>0</x:v>
      </x:c>
      <x:c r="J33" s="66"/>
      <x:c r="K33" s="2"/>
    </x:row>
    <x:row r="34">
      <x:c r="A34" s="65"/>
      <x:c r="B34" s="83"/>
      <x:c r="C34" s="81" t="n">
        <x:v>1</x:v>
      </x:c>
      <x:c r="D34" s="81" t="n">
        <x:v>0</x:v>
      </x:c>
      <x:c r="E34" s="53" t="n">
        <x:f>B34*C34*(1-D34)</x:f>
        <x:v>0</x:v>
      </x:c>
      <x:c r="F34" s="84" t="n">
        <x:v>0.8</x:v>
      </x:c>
      <x:c r="G34" s="84" t="n">
        <x:v>1.2</x:v>
      </x:c>
      <x:c r="H34" s="53" t="n">
        <x:f>E34*F34</x:f>
        <x:v>0</x:v>
      </x:c>
      <x:c r="I34" s="53" t="n">
        <x:f>E34*G34</x:f>
        <x:v>0</x:v>
      </x:c>
      <x:c r="J34" s="66"/>
      <x:c r="K34" s="2"/>
    </x:row>
    <x:row r="35">
      <x:c r="A35" s="65"/>
      <x:c r="B35" s="83"/>
      <x:c r="C35" s="81" t="n">
        <x:v>1</x:v>
      </x:c>
      <x:c r="D35" s="81" t="n">
        <x:v>0</x:v>
      </x:c>
      <x:c r="E35" s="53" t="n">
        <x:f>B35*C35*(1-D35)</x:f>
        <x:v>0</x:v>
      </x:c>
      <x:c r="F35" s="84" t="n">
        <x:v>0.8</x:v>
      </x:c>
      <x:c r="G35" s="84" t="n">
        <x:v>1.2</x:v>
      </x:c>
      <x:c r="H35" s="53" t="n">
        <x:f>E35*F35</x:f>
        <x:v>0</x:v>
      </x:c>
      <x:c r="I35" s="53" t="n">
        <x:f>E35*G35</x:f>
        <x:v>0</x:v>
      </x:c>
      <x:c r="J35" s="66"/>
      <x:c r="K35" s="2"/>
    </x:row>
    <x:row r="36">
      <x:c r="A36" s="65"/>
      <x:c r="B36" s="83"/>
      <x:c r="C36" s="81" t="n">
        <x:v>1</x:v>
      </x:c>
      <x:c r="D36" s="81" t="n">
        <x:v>0</x:v>
      </x:c>
      <x:c r="E36" s="53" t="n">
        <x:f>B36*C36*(1-D36)</x:f>
        <x:v>0</x:v>
      </x:c>
      <x:c r="F36" s="84" t="n">
        <x:v>0.8</x:v>
      </x:c>
      <x:c r="G36" s="84" t="n">
        <x:v>1.2</x:v>
      </x:c>
      <x:c r="H36" s="53" t="n">
        <x:f>E36*F36</x:f>
        <x:v>0</x:v>
      </x:c>
      <x:c r="I36" s="53" t="n">
        <x:f>E36*G36</x:f>
        <x:v>0</x:v>
      </x:c>
      <x:c r="J36" s="66"/>
      <x:c r="K36" s="2"/>
    </x:row>
    <x:row r="37">
      <x:c r="A37" s="65"/>
      <x:c r="B37" s="83"/>
      <x:c r="C37" s="81" t="n">
        <x:v>1</x:v>
      </x:c>
      <x:c r="D37" s="81" t="n">
        <x:v>0</x:v>
      </x:c>
      <x:c r="E37" s="53" t="n">
        <x:f>B37*C37*(1-D37)</x:f>
        <x:v>0</x:v>
      </x:c>
      <x:c r="F37" s="84" t="n">
        <x:v>0.8</x:v>
      </x:c>
      <x:c r="G37" s="84" t="n">
        <x:v>1.2</x:v>
      </x:c>
      <x:c r="H37" s="53" t="n">
        <x:f>E37*F37</x:f>
        <x:v>0</x:v>
      </x:c>
      <x:c r="I37" s="53" t="n">
        <x:f>E37*G37</x:f>
        <x:v>0</x:v>
      </x:c>
      <x:c r="J37" s="66"/>
      <x:c r="K37" s="2"/>
    </x:row>
    <x:row r="38">
      <x:c r="A38" s="65"/>
      <x:c r="B38" s="83"/>
      <x:c r="C38" s="81" t="n">
        <x:v>1</x:v>
      </x:c>
      <x:c r="D38" s="81" t="n">
        <x:v>0</x:v>
      </x:c>
      <x:c r="E38" s="53" t="n">
        <x:f>B38*C38*(1-D38)</x:f>
        <x:v>0</x:v>
      </x:c>
      <x:c r="F38" s="84" t="n">
        <x:v>0.8</x:v>
      </x:c>
      <x:c r="G38" s="84" t="n">
        <x:v>1.2</x:v>
      </x:c>
      <x:c r="H38" s="53" t="n">
        <x:f>E38*F38</x:f>
        <x:v>0</x:v>
      </x:c>
      <x:c r="I38" s="53" t="n">
        <x:f>E38*G38</x:f>
        <x:v>0</x:v>
      </x:c>
      <x:c r="J38" s="66"/>
      <x:c r="K38" s="2"/>
    </x:row>
    <x:row r="39">
      <x:c r="A39" s="65"/>
      <x:c r="B39" s="83"/>
      <x:c r="C39" s="81" t="n">
        <x:v>1</x:v>
      </x:c>
      <x:c r="D39" s="81" t="n">
        <x:v>0</x:v>
      </x:c>
      <x:c r="E39" s="53" t="n">
        <x:f>B39*C39*(1-D39)</x:f>
        <x:v>0</x:v>
      </x:c>
      <x:c r="F39" s="84" t="n">
        <x:v>0.8</x:v>
      </x:c>
      <x:c r="G39" s="84" t="n">
        <x:v>1.2</x:v>
      </x:c>
      <x:c r="H39" s="53" t="n">
        <x:f>E39*F39</x:f>
        <x:v>0</x:v>
      </x:c>
      <x:c r="I39" s="53" t="n">
        <x:f>E39*G39</x:f>
        <x:v>0</x:v>
      </x:c>
      <x:c r="J39" s="66"/>
      <x:c r="K39" s="2"/>
    </x:row>
    <x:row r="40">
      <x:c r="A40" s="65"/>
      <x:c r="B40" s="83"/>
      <x:c r="C40" s="81" t="n">
        <x:v>1</x:v>
      </x:c>
      <x:c r="D40" s="81" t="n">
        <x:v>0</x:v>
      </x:c>
      <x:c r="E40" s="53" t="n">
        <x:f>B40*C40*(1-D40)</x:f>
        <x:v>0</x:v>
      </x:c>
      <x:c r="F40" s="84" t="n">
        <x:v>0.8</x:v>
      </x:c>
      <x:c r="G40" s="84" t="n">
        <x:v>1.2</x:v>
      </x:c>
      <x:c r="H40" s="53" t="n">
        <x:f>E40*F40</x:f>
        <x:v>0</x:v>
      </x:c>
      <x:c r="I40" s="53" t="n">
        <x:f>E40*G40</x:f>
        <x:v>0</x:v>
      </x:c>
      <x:c r="J40" s="66"/>
      <x:c r="K40" s="2"/>
    </x:row>
    <x:row r="41">
      <x:c r="A41" s="65"/>
      <x:c r="B41" s="83"/>
      <x:c r="C41" s="81" t="n">
        <x:v>1</x:v>
      </x:c>
      <x:c r="D41" s="81" t="n">
        <x:v>0</x:v>
      </x:c>
      <x:c r="E41" s="53" t="n">
        <x:f>B41*C41*(1-D41)</x:f>
        <x:v>0</x:v>
      </x:c>
      <x:c r="F41" s="84" t="n">
        <x:v>0.8</x:v>
      </x:c>
      <x:c r="G41" s="84" t="n">
        <x:v>1.2</x:v>
      </x:c>
      <x:c r="H41" s="53" t="n">
        <x:f>E41*F41</x:f>
        <x:v>0</x:v>
      </x:c>
      <x:c r="I41" s="53" t="n">
        <x:f>E41*G41</x:f>
        <x:v>0</x:v>
      </x:c>
      <x:c r="J41" s="66"/>
      <x:c r="K41" s="2"/>
    </x:row>
    <x:row r="42">
      <x:c r="A42" s="56"/>
      <x:c r="B42" s="25"/>
      <x:c r="C42" s="25"/>
      <x:c r="D42" s="25"/>
      <x:c r="E42" s="53"/>
      <x:c r="F42" s="25"/>
      <x:c r="G42" s="25"/>
      <x:c r="H42" s="53"/>
      <x:c r="I42" s="53"/>
      <x:c r="J42" s="25"/>
      <x:c r="K42" s="2"/>
    </x:row>
    <x:row r="43">
      <x:c r="A43" s="87" t="str">
        <x:v>合计</x:v>
      </x:c>
      <x:c r="B43" s="14"/>
      <x:c r="C43" s="14"/>
      <x:c r="D43" s="14"/>
      <x:c r="E43" s="110" t="n">
        <x:f>SUM(E27:E41)</x:f>
        <x:v>0</x:v>
      </x:c>
      <x:c r="F43" s="14"/>
      <x:c r="G43" s="14"/>
      <x:c r="H43" s="110" t="n">
        <x:f>SUM(H27:H41)</x:f>
        <x:v>0</x:v>
      </x:c>
      <x:c r="I43" s="110" t="n">
        <x:f>SUM(I27:I41)</x:f>
        <x:v>0</x:v>
      </x:c>
      <x:c r="J43" s="14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</x:sheetData>
  <x:mergeCells>
    <x:mergeCell ref="A1:K1"/>
    <x:mergeCell ref="A2:K2"/>
    <x:mergeCell ref="A4:K4"/>
    <x:mergeCell ref="A22:E22"/>
    <x:mergeCell ref="A25:K25"/>
    <x:mergeCell ref="A43:D4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50" hidden="0" customWidth="1"/>
  </x:cols>
  <x:sheetData>
    <x:row r="1" ht="34" customHeight="1">
      <x:c r="A1" s="4" t="str">
        <x:v>09｜多方法勾稽与市占</x:v>
      </x:c>
      <x:c r="B1" s="4"/>
      <x:c r="C1" s="4"/>
      <x:c r="D1" s="4"/>
      <x:c r="E1" s="4"/>
      <x:c r="F1" s="4"/>
      <x:c r="G1" s="4"/>
      <x:c r="H1" s="4"/>
    </x:row>
    <x:row r="2" ht="25" customHeight="1">
      <x:c r="A2" s="7" t="str">
        <x:v>统一年份、地区、币种和价值边界；权重反映覆盖、独立性、来源质量和假设强度。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39" t="str">
        <x:v>方法</x:v>
      </x:c>
      <x:c r="B5" s="40" t="str">
        <x:v>Point</x:v>
      </x:c>
      <x:c r="C5" s="40" t="str">
        <x:v>Low</x:v>
      </x:c>
      <x:c r="D5" s="40" t="str">
        <x:v>High</x:v>
      </x:c>
      <x:c r="E5" s="40" t="str">
        <x:v>评分 1-5</x:v>
      </x:c>
      <x:c r="F5" s="40" t="str">
        <x:v>权重</x:v>
      </x:c>
      <x:c r="G5" s="40" t="str">
        <x:v>加权 Point</x:v>
      </x:c>
      <x:c r="H5" s="40" t="str">
        <x:v>独立性 / 说明</x:v>
      </x:c>
    </x:row>
    <x:row r="6">
      <x:c r="A6" s="56" t="str">
        <x:v>用户 / 需求法</x:v>
      </x:c>
      <x:c r="B6" s="51" t="n">
        <x:f>'06_用户法'!H27</x:f>
        <x:v>0</x:v>
      </x:c>
      <x:c r="C6" s="51" t="n">
        <x:f>'06_用户法'!K27</x:f>
        <x:v>0</x:v>
      </x:c>
      <x:c r="D6" s="51" t="n">
        <x:f>'06_用户法'!L27</x:f>
        <x:v>0</x:v>
      </x:c>
      <x:c r="E6" s="66" t="n">
        <x:v>4</x:v>
      </x:c>
      <x:c r="F6" s="81" t="n">
        <x:v>0.3</x:v>
      </x:c>
      <x:c r="G6" s="53" t="n">
        <x:f>B6*F6</x:f>
        <x:v>0</x:v>
      </x:c>
      <x:c r="H6" s="66"/>
    </x:row>
    <x:row r="7">
      <x:c r="A7" s="56" t="str">
        <x:v>收入加总</x:v>
      </x:c>
      <x:c r="B7" s="51" t="n">
        <x:f>'07_收入法'!G37</x:f>
        <x:v>0</x:v>
      </x:c>
      <x:c r="C7" s="51" t="n">
        <x:f>'07_收入法'!J37</x:f>
        <x:v>0</x:v>
      </x:c>
      <x:c r="D7" s="51" t="n">
        <x:f>'07_收入法'!K37</x:f>
        <x:v>0</x:v>
      </x:c>
      <x:c r="E7" s="66" t="n">
        <x:v>4</x:v>
      </x:c>
      <x:c r="F7" s="81" t="n">
        <x:v>0.25</x:v>
      </x:c>
      <x:c r="G7" s="53" t="n">
        <x:f>B7*F7</x:f>
        <x:v>0</x:v>
      </x:c>
      <x:c r="H7" s="66"/>
    </x:row>
    <x:row r="8">
      <x:c r="A8" s="56" t="str">
        <x:v>龙头市占倒推</x:v>
      </x:c>
      <x:c r="B8" s="51" t="n">
        <x:f>'08_公司价值链'!F22</x:f>
        <x:v>0</x:v>
      </x:c>
      <x:c r="C8" s="51" t="n">
        <x:f>'08_公司价值链'!G22</x:f>
        <x:v>0</x:v>
      </x:c>
      <x:c r="D8" s="51" t="n">
        <x:f>'08_公司价值链'!H22</x:f>
        <x:v>0</x:v>
      </x:c>
      <x:c r="E8" s="66" t="n">
        <x:v>3</x:v>
      </x:c>
      <x:c r="F8" s="81" t="n">
        <x:v>0.2</x:v>
      </x:c>
      <x:c r="G8" s="53" t="n">
        <x:f>B8*F8</x:f>
        <x:v>0</x:v>
      </x:c>
      <x:c r="H8" s="66"/>
    </x:row>
    <x:row r="9">
      <x:c r="A9" s="56" t="str">
        <x:v>模块拆分</x:v>
      </x:c>
      <x:c r="B9" s="51" t="n">
        <x:f>'08_公司价值链'!E43</x:f>
        <x:v>0</x:v>
      </x:c>
      <x:c r="C9" s="51" t="n">
        <x:f>'08_公司价值链'!H43</x:f>
        <x:v>0</x:v>
      </x:c>
      <x:c r="D9" s="51" t="n">
        <x:f>'08_公司价值链'!I43</x:f>
        <x:v>0</x:v>
      </x:c>
      <x:c r="E9" s="66" t="n">
        <x:v>3</x:v>
      </x:c>
      <x:c r="F9" s="81" t="n">
        <x:v>0.15</x:v>
      </x:c>
      <x:c r="G9" s="53" t="n">
        <x:f>B9*F9</x:f>
        <x:v>0</x:v>
      </x:c>
      <x:c r="H9" s="66"/>
    </x:row>
    <x:row r="10">
      <x:c r="A10" s="56" t="str">
        <x:v>外部报告范围</x:v>
      </x:c>
      <x:c r="B10" s="115" t="n">
        <x:v>0</x:v>
      </x:c>
      <x:c r="C10" s="115" t="n">
        <x:v>0</x:v>
      </x:c>
      <x:c r="D10" s="115" t="n">
        <x:v>0</x:v>
      </x:c>
      <x:c r="E10" s="44" t="n">
        <x:v>2</x:v>
      </x:c>
      <x:c r="F10" s="52" t="n">
        <x:v>0.1</x:v>
      </x:c>
      <x:c r="G10" s="53" t="n">
        <x:f>B10*F10</x:f>
        <x:v>0</x:v>
      </x:c>
      <x:c r="H10" s="66"/>
    </x:row>
    <x:row r="11">
      <x:c r="A11" s="56"/>
      <x:c r="B11" s="25"/>
      <x:c r="C11" s="25"/>
      <x:c r="D11" s="25"/>
      <x:c r="E11" s="25"/>
      <x:c r="F11" s="116"/>
      <x:c r="G11" s="86"/>
      <x:c r="H11" s="25"/>
    </x:row>
    <x:row r="12">
      <x:c r="A12" s="87" t="str">
        <x:v>合计 / 加权结果</x:v>
      </x:c>
      <x:c r="B12" s="14"/>
      <x:c r="C12" s="14"/>
      <x:c r="D12" s="14"/>
      <x:c r="E12" s="14"/>
      <x:c r="F12" s="117" t="n">
        <x:f>SUM(F6:F10)</x:f>
        <x:v>1</x:v>
      </x:c>
      <x:c r="G12" s="89" t="n">
        <x:f>SUM(G6:G10)</x:f>
        <x:v>0</x:v>
      </x:c>
      <x:c r="H12" s="14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22" customHeight="1">
      <x:c r="A14" s="9" t="str">
        <x:v>TAM / SAM / 当前市占</x:v>
      </x:c>
      <x:c r="B14" s="9"/>
      <x:c r="C14" s="9"/>
      <x:c r="D14" s="9"/>
      <x:c r="E14" s="9"/>
      <x:c r="F14" s="9"/>
      <x:c r="G14" s="9"/>
      <x:c r="H14" s="9"/>
    </x:row>
    <x:row r="15">
      <x:c r="A15" s="23" t="str">
        <x:v>Reconciled TAM</x:v>
      </x:c>
      <x:c r="B15" s="118" t="n">
        <x:f>G12</x:f>
        <x:v>0</x:v>
      </x:c>
      <x:c r="C15" s="2"/>
      <x:c r="D15" s="2"/>
      <x:c r="E15" s="2"/>
      <x:c r="F15" s="2"/>
      <x:c r="G15" s="2"/>
      <x:c r="H15" s="2"/>
    </x:row>
    <x:row r="16">
      <x:c r="A16" s="25" t="str">
        <x:v>Reconciled Low</x:v>
      </x:c>
      <x:c r="B16" s="51" t="n">
        <x:f>SUMPRODUCT(C6:C10,F6:F10)</x:f>
        <x:v>0</x:v>
      </x:c>
      <x:c r="C16" s="2"/>
      <x:c r="D16" s="2"/>
      <x:c r="E16" s="2"/>
      <x:c r="F16" s="2"/>
      <x:c r="G16" s="2"/>
      <x:c r="H16" s="2"/>
    </x:row>
    <x:row r="17">
      <x:c r="A17" s="25" t="str">
        <x:v>Reconciled High</x:v>
      </x:c>
      <x:c r="B17" s="51" t="n">
        <x:f>SUMPRODUCT(D6:D10,F6:F10)</x:f>
        <x:v>0</x:v>
      </x:c>
      <x:c r="C17" s="2"/>
      <x:c r="D17" s="2"/>
      <x:c r="E17" s="2"/>
      <x:c r="F17" s="2"/>
      <x:c r="G17" s="2"/>
      <x:c r="H17" s="2"/>
    </x:row>
    <x:row r="18">
      <x:c r="A18" s="25" t="str">
        <x:v>可服务地区比例</x:v>
      </x:c>
      <x:c r="B18" s="119" t="n">
        <x:f>'02_口径'!B27</x:f>
        <x:v>1</x:v>
      </x:c>
      <x:c r="C18" s="2"/>
      <x:c r="D18" s="2"/>
      <x:c r="E18" s="2"/>
      <x:c r="F18" s="2"/>
      <x:c r="G18" s="2"/>
      <x:c r="H18" s="2"/>
    </x:row>
    <x:row r="19">
      <x:c r="A19" s="25" t="str">
        <x:v>可服务品类比例</x:v>
      </x:c>
      <x:c r="B19" s="119" t="n">
        <x:f>'02_口径'!B28</x:f>
        <x:v>1</x:v>
      </x:c>
      <x:c r="C19" s="2"/>
      <x:c r="D19" s="2"/>
      <x:c r="E19" s="2"/>
      <x:c r="F19" s="2"/>
      <x:c r="G19" s="2"/>
      <x:c r="H19" s="2"/>
    </x:row>
    <x:row r="20">
      <x:c r="A20" s="25" t="str">
        <x:v>可触达渠道 / 客户比例</x:v>
      </x:c>
      <x:c r="B20" s="119" t="n">
        <x:f>'02_口径'!B29</x:f>
        <x:v>1</x:v>
      </x:c>
      <x:c r="C20" s="2"/>
      <x:c r="D20" s="2"/>
      <x:c r="E20" s="2"/>
      <x:c r="F20" s="2"/>
      <x:c r="G20" s="2"/>
      <x:c r="H20" s="2"/>
    </x:row>
    <x:row r="21">
      <x:c r="A21" s="25" t="str">
        <x:v>SAM</x:v>
      </x:c>
      <x:c r="B21" s="51" t="n">
        <x:f>B15*B18*B19*B20</x:f>
        <x:v>0</x:v>
      </x:c>
      <x:c r="C21" s="2"/>
      <x:c r="D21" s="2"/>
      <x:c r="E21" s="2"/>
      <x:c r="F21" s="2"/>
      <x:c r="G21" s="2"/>
      <x:c r="H21" s="2"/>
    </x:row>
    <x:row r="22">
      <x:c r="A22" s="25" t="str">
        <x:v>用户可比年化收入</x:v>
      </x:c>
      <x:c r="B22" s="51" t="n">
        <x:f>'02_口径'!B26</x:f>
        <x:v>0</x:v>
      </x:c>
      <x:c r="C22" s="2"/>
      <x:c r="D22" s="2"/>
      <x:c r="E22" s="2"/>
      <x:c r="F22" s="2"/>
      <x:c r="G22" s="2"/>
      <x:c r="H22" s="2"/>
    </x:row>
    <x:row r="23">
      <x:c r="A23" s="25" t="str">
        <x:v>当前收入市占</x:v>
      </x:c>
      <x:c r="B23" s="119" t="n">
        <x:f>IFERROR(B22/B21,0)</x:f>
        <x:v>0</x:v>
      </x:c>
      <x:c r="C23" s="2"/>
      <x:c r="D23" s="2"/>
      <x:c r="E23" s="2"/>
      <x:c r="F23" s="2"/>
      <x:c r="G23" s="2"/>
      <x:c r="H23" s="2"/>
    </x:row>
    <x:row r="24">
      <x:c r="A24" s="25" t="str">
        <x:v>当前活跃用户</x:v>
      </x:c>
      <x:c r="B24" s="54" t="n">
        <x:f>'02_口径'!B20</x:f>
        <x:v>0</x:v>
      </x:c>
      <x:c r="C24" s="2"/>
      <x:c r="D24" s="2"/>
      <x:c r="E24" s="2"/>
      <x:c r="F24" s="2"/>
      <x:c r="G24" s="2"/>
      <x:c r="H24" s="2"/>
    </x:row>
    <x:row r="25">
      <x:c r="A25" s="25" t="str">
        <x:v>可服务活跃单位</x:v>
      </x:c>
      <x:c r="B25" s="54" t="n">
        <x:f>'06_用户法'!D27</x:f>
        <x:v>0</x:v>
      </x:c>
      <x:c r="C25" s="2"/>
      <x:c r="D25" s="2"/>
      <x:c r="E25" s="2"/>
      <x:c r="F25" s="2"/>
      <x:c r="G25" s="2"/>
      <x:c r="H25" s="2"/>
    </x:row>
    <x:row r="26">
      <x:c r="A26" s="25" t="str">
        <x:v>当前用户市占</x:v>
      </x:c>
      <x:c r="B26" s="119" t="n">
        <x:f>IFERROR(B24/B25,0)</x:f>
        <x:v>0</x:v>
      </x:c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A1:H1"/>
    <x:mergeCell ref="A2:H2"/>
    <x:mergeCell ref="A12:E12"/>
    <x:mergeCell ref="A14:H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40" hidden="0" customWidth="1"/>
  </x:cols>
  <x:sheetData>
    <x:row r="1" ht="34" customHeight="1">
      <x:c r="A1" s="4" t="str">
        <x:v>10｜三年情景</x:v>
      </x:c>
      <x:c r="B1" s="4"/>
      <x:c r="C1" s="4"/>
      <x:c r="D1" s="4"/>
      <x:c r="E1" s="4"/>
      <x:c r="F1" s="4"/>
      <x:c r="G1" s="4"/>
    </x:row>
    <x:row r="2" ht="25" customHeight="1">
      <x:c r="A2" s="7" t="str">
        <x:v>用需求量、价格/Mix、结构性采用和约束解释未来，而不是直接输入三个 CAGR。</x:v>
      </x:c>
      <x:c r="B2" s="7"/>
      <x:c r="C2" s="7"/>
      <x:c r="D2" s="7"/>
      <x:c r="E2" s="7"/>
      <x:c r="F2" s="7"/>
      <x:c r="G2" s="7"/>
    </x:row>
    <x:row r="3">
      <x:c r="A3" s="2"/>
      <x:c r="B3" s="2"/>
      <x:c r="C3" s="2"/>
      <x:c r="D3" s="2"/>
      <x:c r="E3" s="2"/>
      <x:c r="F3" s="2"/>
      <x:c r="G3" s="2"/>
    </x:row>
    <x:row r="4" ht="22" customHeight="1">
      <x:c r="A4" s="9" t="str">
        <x:v>保守情景</x:v>
      </x:c>
      <x:c r="B4" s="9"/>
      <x:c r="C4" s="9"/>
      <x:c r="D4" s="9"/>
      <x:c r="E4" s="9"/>
      <x:c r="F4" s="9"/>
      <x:c r="G4" s="9"/>
    </x:row>
    <x:row r="5" ht="30" customHeight="1">
      <x:c r="A5" s="39" t="str">
        <x:v>驱动 / 输出</x:v>
      </x:c>
      <x:c r="B5" s="40" t="str">
        <x:v>Year 0</x:v>
      </x:c>
      <x:c r="C5" s="40" t="str">
        <x:v>Year 1</x:v>
      </x:c>
      <x:c r="D5" s="40" t="str">
        <x:v>Year 2</x:v>
      </x:c>
      <x:c r="E5" s="40" t="str">
        <x:v>Year 3</x:v>
      </x:c>
      <x:c r="F5" s="40" t="str">
        <x:v>驱动定义</x:v>
      </x:c>
      <x:c r="G5" s="40" t="str">
        <x:v>该情景的假设依据</x:v>
      </x:c>
    </x:row>
    <x:row r="6">
      <x:c r="A6" s="56" t="str">
        <x:v>需求量增长</x:v>
      </x:c>
      <x:c r="B6" s="52" t="n">
        <x:v>0</x:v>
      </x:c>
      <x:c r="C6" s="52" t="n">
        <x:v>0.03</x:v>
      </x:c>
      <x:c r="D6" s="52" t="n">
        <x:v>0.03</x:v>
      </x:c>
      <x:c r="E6" s="52" t="n">
        <x:v>0.03</x:v>
      </x:c>
      <x:c r="F6" s="15" t="str">
        <x:v>用户、席位、工作量、内容量、使用量或交易的增长；不含价格和结构增量</x:v>
      </x:c>
      <x:c r="G6" s="122" t="str">
        <x:v>[填写来源锚点和取值逻辑]</x:v>
      </x:c>
    </x:row>
    <x:row r="7">
      <x:c r="A7" s="56" t="str">
        <x:v>价格 / Mix 变化</x:v>
      </x:c>
      <x:c r="B7" s="52" t="n">
        <x:v>0</x:v>
      </x:c>
      <x:c r="C7" s="52" t="n">
        <x:v>-0.02</x:v>
      </x:c>
      <x:c r="D7" s="52" t="n">
        <x:v>-0.02</x:v>
      </x:c>
      <x:c r="E7" s="52" t="n">
        <x:v>-0.02</x:v>
      </x:c>
      <x:c r="F7" s="15" t="str">
        <x:v>同一单位收入因定价、折扣、企业/credits Mix 或产品组合变化产生的增减</x:v>
      </x:c>
      <x:c r="G7" s="122" t="str">
        <x:v>[填写价格与 Mix 依据]</x:v>
      </x:c>
    </x:row>
    <x:row r="8">
      <x:c r="A8" s="56" t="str">
        <x:v>结构性采用增量</x:v>
      </x:c>
      <x:c r="B8" s="52" t="n">
        <x:v>0</x:v>
      </x:c>
      <x:c r="C8" s="52" t="n">
        <x:v>0.02</x:v>
      </x:c>
      <x:c r="D8" s="52" t="n">
        <x:v>0.02</x:v>
      </x:c>
      <x:c r="E8" s="52" t="n">
        <x:v>0.02</x:v>
      </x:c>
      <x:c r="F8" s="15" t="str">
        <x:v>技术带来的额外付费率、频次、新场景或替代收入；避免与需求量重复</x:v>
      </x:c>
      <x:c r="G8" s="122" t="str">
        <x:v>[填写采用、替代或新场景依据]</x:v>
      </x:c>
    </x:row>
    <x:row r="9">
      <x:c r="A9" s="56" t="str">
        <x:v>约束系数</x:v>
      </x:c>
      <x:c r="B9" s="52" t="n">
        <x:v>1</x:v>
      </x:c>
      <x:c r="C9" s="52" t="n">
        <x:v>0.98</x:v>
      </x:c>
      <x:c r="D9" s="52" t="n">
        <x:v>0.98</x:v>
      </x:c>
      <x:c r="E9" s="52" t="n">
        <x:v>0.98</x:v>
      </x:c>
      <x:c r="F9" s="15" t="str">
        <x:v>监管、分发、版权、算力、产能等约束乘数；1.00=无额外拖累</x:v>
      </x:c>
      <x:c r="G9" s="122" t="str">
        <x:v>[填写约束与乘数依据]</x:v>
      </x:c>
    </x:row>
    <x:row r="10">
      <x:c r="A10" s="56" t="str">
        <x:v>市场规模</x:v>
      </x:c>
      <x:c r="B10" s="51" t="n">
        <x:f>'09_勾稽'!B15</x:f>
        <x:v>0</x:v>
      </x:c>
      <x:c r="C10" s="53" t="n">
        <x:f>B10*(1+C6)*(1+C7)*(1+C8)*C9</x:f>
        <x:v>0</x:v>
      </x:c>
      <x:c r="D10" s="53" t="n">
        <x:f>C10*(1+D6)*(1+D7)*(1+D8)*D9</x:f>
        <x:v>0</x:v>
      </x:c>
      <x:c r="E10" s="53" t="n">
        <x:f>D10*(1+E6)*(1+E7)*(1+E8)*E9</x:f>
        <x:v>0</x:v>
      </x:c>
      <x:c r="F10" s="25"/>
      <x:c r="G10" s="25"/>
    </x:row>
    <x:row r="11">
      <x:c r="A11" s="56" t="str">
        <x:v>YoY</x:v>
      </x:c>
      <x:c r="B11" s="123"/>
      <x:c r="C11" s="123" t="n">
        <x:f>IFERROR(C10/B10-1,0)</x:f>
        <x:v>0</x:v>
      </x:c>
      <x:c r="D11" s="123" t="n">
        <x:f>IFERROR(D10/C10-1,0)</x:f>
        <x:v>0</x:v>
      </x:c>
      <x:c r="E11" s="123" t="n">
        <x:f>IFERROR(E10/D10-1,0)</x:f>
        <x:v>0</x:v>
      </x:c>
      <x:c r="F11" s="25"/>
      <x:c r="G11" s="25"/>
    </x:row>
    <x:row r="12">
      <x:c r="A12" s="56" t="str">
        <x:v>三年 CAGR</x:v>
      </x:c>
      <x:c r="B12" s="123"/>
      <x:c r="C12" s="123"/>
      <x:c r="D12" s="123"/>
      <x:c r="E12" s="123" t="n">
        <x:f>IFERROR((E10/B10)^(1/3)-1,0)</x:f>
        <x:v>0</x:v>
      </x:c>
      <x:c r="F12" s="25"/>
      <x:c r="G12" s="25"/>
    </x:row>
    <x:row r="13">
      <x:c r="A13" s="2"/>
      <x:c r="B13" s="2"/>
      <x:c r="C13" s="2"/>
      <x:c r="D13" s="2"/>
      <x:c r="E13" s="2"/>
      <x:c r="F13" s="2"/>
      <x:c r="G13" s="2"/>
    </x:row>
    <x:row r="14">
      <x:c r="A14" s="2" t="str">
        <x:v>来源 / 逻辑 / 领先指标</x:v>
      </x:c>
      <x:c r="B14" s="120" t="str">
        <x:v>[必须替换：写明历史锚点、来源 IDs、关键因果和证伪阈值]</x:v>
      </x:c>
      <x:c r="C14" s="120"/>
      <x:c r="D14" s="120"/>
      <x:c r="E14" s="120"/>
      <x:c r="F14" s="120"/>
      <x:c r="G14" s="120"/>
    </x:row>
    <x:row r="15">
      <x:c r="A15" s="2"/>
      <x:c r="B15" s="2"/>
      <x:c r="C15" s="2"/>
      <x:c r="D15" s="2"/>
      <x:c r="E15" s="2"/>
      <x:c r="F15" s="2"/>
      <x:c r="G15" s="2"/>
    </x:row>
    <x:row r="16" ht="22" customHeight="1">
      <x:c r="A16" s="9" t="str">
        <x:v>中性情景</x:v>
      </x:c>
      <x:c r="B16" s="9"/>
      <x:c r="C16" s="9"/>
      <x:c r="D16" s="9"/>
      <x:c r="E16" s="9"/>
      <x:c r="F16" s="9"/>
      <x:c r="G16" s="9"/>
    </x:row>
    <x:row r="17" ht="30" customHeight="1">
      <x:c r="A17" s="39" t="str">
        <x:v>驱动 / 输出</x:v>
      </x:c>
      <x:c r="B17" s="40" t="str">
        <x:v>Year 0</x:v>
      </x:c>
      <x:c r="C17" s="40" t="str">
        <x:v>Year 1</x:v>
      </x:c>
      <x:c r="D17" s="40" t="str">
        <x:v>Year 2</x:v>
      </x:c>
      <x:c r="E17" s="40" t="str">
        <x:v>Year 3</x:v>
      </x:c>
      <x:c r="F17" s="40" t="str">
        <x:v>驱动定义</x:v>
      </x:c>
      <x:c r="G17" s="40" t="str">
        <x:v>该情景的假设依据</x:v>
      </x:c>
    </x:row>
    <x:row r="18">
      <x:c r="A18" s="56" t="str">
        <x:v>需求量增长</x:v>
      </x:c>
      <x:c r="B18" s="52" t="n">
        <x:v>0</x:v>
      </x:c>
      <x:c r="C18" s="52" t="n">
        <x:v>0.06</x:v>
      </x:c>
      <x:c r="D18" s="52" t="n">
        <x:v>0.06</x:v>
      </x:c>
      <x:c r="E18" s="52" t="n">
        <x:v>0.06</x:v>
      </x:c>
      <x:c r="F18" s="15" t="str">
        <x:v>用户、席位、工作量、内容量、使用量或交易的增长；不含价格和结构增量</x:v>
      </x:c>
      <x:c r="G18" s="122" t="str">
        <x:v>[填写来源锚点和取值逻辑]</x:v>
      </x:c>
    </x:row>
    <x:row r="19">
      <x:c r="A19" s="56" t="str">
        <x:v>价格 / Mix 变化</x:v>
      </x:c>
      <x:c r="B19" s="52" t="n">
        <x:v>0</x:v>
      </x:c>
      <x:c r="C19" s="52" t="n">
        <x:v>0</x:v>
      </x:c>
      <x:c r="D19" s="52" t="n">
        <x:v>0</x:v>
      </x:c>
      <x:c r="E19" s="52" t="n">
        <x:v>0</x:v>
      </x:c>
      <x:c r="F19" s="15" t="str">
        <x:v>同一单位收入因定价、折扣、企业/credits Mix 或产品组合变化产生的增减</x:v>
      </x:c>
      <x:c r="G19" s="122" t="str">
        <x:v>[填写价格与 Mix 依据]</x:v>
      </x:c>
    </x:row>
    <x:row r="20">
      <x:c r="A20" s="56" t="str">
        <x:v>结构性采用增量</x:v>
      </x:c>
      <x:c r="B20" s="52" t="n">
        <x:v>0</x:v>
      </x:c>
      <x:c r="C20" s="52" t="n">
        <x:v>0.06</x:v>
      </x:c>
      <x:c r="D20" s="52" t="n">
        <x:v>0.06</x:v>
      </x:c>
      <x:c r="E20" s="52" t="n">
        <x:v>0.06</x:v>
      </x:c>
      <x:c r="F20" s="15" t="str">
        <x:v>技术带来的额外付费率、频次、新场景或替代收入；避免与需求量重复</x:v>
      </x:c>
      <x:c r="G20" s="122" t="str">
        <x:v>[填写采用、替代或新场景依据]</x:v>
      </x:c>
    </x:row>
    <x:row r="21">
      <x:c r="A21" s="56" t="str">
        <x:v>约束系数</x:v>
      </x:c>
      <x:c r="B21" s="52" t="n">
        <x:v>1</x:v>
      </x:c>
      <x:c r="C21" s="52" t="n">
        <x:v>1</x:v>
      </x:c>
      <x:c r="D21" s="52" t="n">
        <x:v>1</x:v>
      </x:c>
      <x:c r="E21" s="52" t="n">
        <x:v>1</x:v>
      </x:c>
      <x:c r="F21" s="15" t="str">
        <x:v>监管、分发、版权、算力、产能等约束乘数；1.00=无额外拖累</x:v>
      </x:c>
      <x:c r="G21" s="122" t="str">
        <x:v>[填写约束与乘数依据]</x:v>
      </x:c>
    </x:row>
    <x:row r="22">
      <x:c r="A22" s="56" t="str">
        <x:v>市场规模</x:v>
      </x:c>
      <x:c r="B22" s="51" t="n">
        <x:f>'09_勾稽'!B15</x:f>
        <x:v>0</x:v>
      </x:c>
      <x:c r="C22" s="53" t="n">
        <x:f>B22*(1+C18)*(1+C19)*(1+C20)*C21</x:f>
        <x:v>0</x:v>
      </x:c>
      <x:c r="D22" s="53" t="n">
        <x:f>C22*(1+D18)*(1+D19)*(1+D20)*D21</x:f>
        <x:v>0</x:v>
      </x:c>
      <x:c r="E22" s="53" t="n">
        <x:f>D22*(1+E18)*(1+E19)*(1+E20)*E21</x:f>
        <x:v>0</x:v>
      </x:c>
      <x:c r="F22" s="25"/>
      <x:c r="G22" s="25"/>
    </x:row>
    <x:row r="23">
      <x:c r="A23" s="56" t="str">
        <x:v>YoY</x:v>
      </x:c>
      <x:c r="B23" s="123"/>
      <x:c r="C23" s="123" t="n">
        <x:f>IFERROR(C22/B22-1,0)</x:f>
        <x:v>0</x:v>
      </x:c>
      <x:c r="D23" s="123" t="n">
        <x:f>IFERROR(D22/C22-1,0)</x:f>
        <x:v>0</x:v>
      </x:c>
      <x:c r="E23" s="123" t="n">
        <x:f>IFERROR(E22/D22-1,0)</x:f>
        <x:v>0</x:v>
      </x:c>
      <x:c r="F23" s="25"/>
      <x:c r="G23" s="25"/>
    </x:row>
    <x:row r="24">
      <x:c r="A24" s="56" t="str">
        <x:v>三年 CAGR</x:v>
      </x:c>
      <x:c r="B24" s="123"/>
      <x:c r="C24" s="123"/>
      <x:c r="D24" s="123"/>
      <x:c r="E24" s="123" t="n">
        <x:f>IFERROR((E22/B22)^(1/3)-1,0)</x:f>
        <x:v>0</x:v>
      </x:c>
      <x:c r="F24" s="25"/>
      <x:c r="G24" s="25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 t="str">
        <x:v>来源 / 逻辑 / 领先指标</x:v>
      </x:c>
      <x:c r="B26" s="120" t="str">
        <x:v>[必须替换：写明历史锚点、来源 IDs、关键因果和证伪阈值]</x:v>
      </x:c>
      <x:c r="C26" s="120"/>
      <x:c r="D26" s="120"/>
      <x:c r="E26" s="120"/>
      <x:c r="F26" s="120"/>
      <x:c r="G26" s="120"/>
    </x:row>
    <x:row r="27">
      <x:c r="A27" s="2"/>
      <x:c r="B27" s="2"/>
      <x:c r="C27" s="2"/>
      <x:c r="D27" s="2"/>
      <x:c r="E27" s="2"/>
      <x:c r="F27" s="2"/>
      <x:c r="G27" s="2"/>
    </x:row>
    <x:row r="28" ht="22" customHeight="1">
      <x:c r="A28" s="9" t="str">
        <x:v>激进情景</x:v>
      </x:c>
      <x:c r="B28" s="9"/>
      <x:c r="C28" s="9"/>
      <x:c r="D28" s="9"/>
      <x:c r="E28" s="9"/>
      <x:c r="F28" s="9"/>
      <x:c r="G28" s="9"/>
    </x:row>
    <x:row r="29" ht="30" customHeight="1">
      <x:c r="A29" s="39" t="str">
        <x:v>驱动 / 输出</x:v>
      </x:c>
      <x:c r="B29" s="40" t="str">
        <x:v>Year 0</x:v>
      </x:c>
      <x:c r="C29" s="40" t="str">
        <x:v>Year 1</x:v>
      </x:c>
      <x:c r="D29" s="40" t="str">
        <x:v>Year 2</x:v>
      </x:c>
      <x:c r="E29" s="40" t="str">
        <x:v>Year 3</x:v>
      </x:c>
      <x:c r="F29" s="40" t="str">
        <x:v>驱动定义</x:v>
      </x:c>
      <x:c r="G29" s="40" t="str">
        <x:v>该情景的假设依据</x:v>
      </x:c>
    </x:row>
    <x:row r="30">
      <x:c r="A30" s="56" t="str">
        <x:v>需求量增长</x:v>
      </x:c>
      <x:c r="B30" s="52" t="n">
        <x:v>0</x:v>
      </x:c>
      <x:c r="C30" s="52" t="n">
        <x:v>0.1</x:v>
      </x:c>
      <x:c r="D30" s="52" t="n">
        <x:v>0.1</x:v>
      </x:c>
      <x:c r="E30" s="52" t="n">
        <x:v>0.1</x:v>
      </x:c>
      <x:c r="F30" s="15" t="str">
        <x:v>用户、席位、工作量、内容量、使用量或交易的增长；不含价格和结构增量</x:v>
      </x:c>
      <x:c r="G30" s="122" t="str">
        <x:v>[填写来源锚点和取值逻辑]</x:v>
      </x:c>
    </x:row>
    <x:row r="31">
      <x:c r="A31" s="56" t="str">
        <x:v>价格 / Mix 变化</x:v>
      </x:c>
      <x:c r="B31" s="52" t="n">
        <x:v>0</x:v>
      </x:c>
      <x:c r="C31" s="52" t="n">
        <x:v>0.02</x:v>
      </x:c>
      <x:c r="D31" s="52" t="n">
        <x:v>0.02</x:v>
      </x:c>
      <x:c r="E31" s="52" t="n">
        <x:v>0.02</x:v>
      </x:c>
      <x:c r="F31" s="15" t="str">
        <x:v>同一单位收入因定价、折扣、企业/credits Mix 或产品组合变化产生的增减</x:v>
      </x:c>
      <x:c r="G31" s="122" t="str">
        <x:v>[填写价格与 Mix 依据]</x:v>
      </x:c>
    </x:row>
    <x:row r="32">
      <x:c r="A32" s="56" t="str">
        <x:v>结构性采用增量</x:v>
      </x:c>
      <x:c r="B32" s="52" t="n">
        <x:v>0</x:v>
      </x:c>
      <x:c r="C32" s="52" t="n">
        <x:v>0.12</x:v>
      </x:c>
      <x:c r="D32" s="52" t="n">
        <x:v>0.12</x:v>
      </x:c>
      <x:c r="E32" s="52" t="n">
        <x:v>0.12</x:v>
      </x:c>
      <x:c r="F32" s="15" t="str">
        <x:v>技术带来的额外付费率、频次、新场景或替代收入；避免与需求量重复</x:v>
      </x:c>
      <x:c r="G32" s="122" t="str">
        <x:v>[填写采用、替代或新场景依据]</x:v>
      </x:c>
    </x:row>
    <x:row r="33">
      <x:c r="A33" s="56" t="str">
        <x:v>约束系数</x:v>
      </x:c>
      <x:c r="B33" s="52" t="n">
        <x:v>1</x:v>
      </x:c>
      <x:c r="C33" s="52" t="n">
        <x:v>1</x:v>
      </x:c>
      <x:c r="D33" s="52" t="n">
        <x:v>1</x:v>
      </x:c>
      <x:c r="E33" s="52" t="n">
        <x:v>1</x:v>
      </x:c>
      <x:c r="F33" s="15" t="str">
        <x:v>监管、分发、版权、算力、产能等约束乘数；1.00=无额外拖累</x:v>
      </x:c>
      <x:c r="G33" s="122" t="str">
        <x:v>[填写约束与乘数依据]</x:v>
      </x:c>
    </x:row>
    <x:row r="34">
      <x:c r="A34" s="56" t="str">
        <x:v>市场规模</x:v>
      </x:c>
      <x:c r="B34" s="51" t="n">
        <x:f>'09_勾稽'!B15</x:f>
        <x:v>0</x:v>
      </x:c>
      <x:c r="C34" s="53" t="n">
        <x:f>B34*(1+C30)*(1+C31)*(1+C32)*C33</x:f>
        <x:v>0</x:v>
      </x:c>
      <x:c r="D34" s="53" t="n">
        <x:f>C34*(1+D30)*(1+D31)*(1+D32)*D33</x:f>
        <x:v>0</x:v>
      </x:c>
      <x:c r="E34" s="53" t="n">
        <x:f>D34*(1+E30)*(1+E31)*(1+E32)*E33</x:f>
        <x:v>0</x:v>
      </x:c>
      <x:c r="F34" s="25"/>
      <x:c r="G34" s="25"/>
    </x:row>
    <x:row r="35">
      <x:c r="A35" s="56" t="str">
        <x:v>YoY</x:v>
      </x:c>
      <x:c r="B35" s="123"/>
      <x:c r="C35" s="123" t="n">
        <x:f>IFERROR(C34/B34-1,0)</x:f>
        <x:v>0</x:v>
      </x:c>
      <x:c r="D35" s="123" t="n">
        <x:f>IFERROR(D34/C34-1,0)</x:f>
        <x:v>0</x:v>
      </x:c>
      <x:c r="E35" s="123" t="n">
        <x:f>IFERROR(E34/D34-1,0)</x:f>
        <x:v>0</x:v>
      </x:c>
      <x:c r="F35" s="25"/>
      <x:c r="G35" s="25"/>
    </x:row>
    <x:row r="36">
      <x:c r="A36" s="56" t="str">
        <x:v>三年 CAGR</x:v>
      </x:c>
      <x:c r="B36" s="123"/>
      <x:c r="C36" s="123"/>
      <x:c r="D36" s="123"/>
      <x:c r="E36" s="123" t="n">
        <x:f>IFERROR((E34/B34)^(1/3)-1,0)</x:f>
        <x:v>0</x:v>
      </x:c>
      <x:c r="F36" s="25"/>
      <x:c r="G36" s="25"/>
    </x:row>
    <x:row r="37">
      <x:c r="A37" s="2"/>
      <x:c r="B37" s="2"/>
      <x:c r="C37" s="2"/>
      <x:c r="D37" s="2"/>
      <x:c r="E37" s="2"/>
      <x:c r="F37" s="2"/>
      <x:c r="G37" s="2"/>
    </x:row>
    <x:row r="38">
      <x:c r="A38" s="2" t="str">
        <x:v>来源 / 逻辑 / 领先指标</x:v>
      </x:c>
      <x:c r="B38" s="120" t="str">
        <x:v>[必须替换：写明历史锚点、来源 IDs、关键因果和证伪阈值]</x:v>
      </x:c>
      <x:c r="C38" s="120"/>
      <x:c r="D38" s="120"/>
      <x:c r="E38" s="120"/>
      <x:c r="F38" s="120"/>
      <x:c r="G38" s="120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/>
      <x:c r="B40" s="2"/>
      <x:c r="C40" s="2"/>
      <x:c r="D40" s="2"/>
      <x:c r="E40" s="2"/>
      <x:c r="F40" s="2"/>
      <x:c r="G40" s="2"/>
    </x:row>
  </x:sheetData>
  <x:mergeCells>
    <x:mergeCell ref="A1:G1"/>
    <x:mergeCell ref="A2:G2"/>
    <x:mergeCell ref="A4:G4"/>
    <x:mergeCell ref="B14:G14"/>
    <x:mergeCell ref="A16:G16"/>
    <x:mergeCell ref="B26:G26"/>
    <x:mergeCell ref="A28:G28"/>
    <x:mergeCell ref="B38:G3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24" hidden="0" customWidth="1"/>
    <x:col min="9" max="9" width="36" hidden="0" customWidth="1"/>
    <x:col min="10" max="10" width="24" hidden="0" customWidth="1"/>
  </x:cols>
  <x:sheetData>
    <x:row r="1" ht="34" customHeight="1">
      <x:c r="A1" s="4" t="str">
        <x:v>11｜竞争、价值归属与 KSF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7" t="str">
        <x:v>把竞争者映射到用户 Job、市场模块和经济结果；区分门槛能力与可持续优势。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9" t="str">
        <x:v>竞争者地图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5" ht="30" customHeight="1">
      <x:c r="A5" s="39" t="str">
        <x:v>竞争者 / 自身</x:v>
      </x:c>
      <x:c r="B5" s="40" t="str">
        <x:v>类型</x:v>
      </x:c>
      <x:c r="C5" s="40" t="str">
        <x:v>目标细分</x:v>
      </x:c>
      <x:c r="D5" s="40" t="str">
        <x:v>变现模式</x:v>
      </x:c>
      <x:c r="E5" s="40" t="str">
        <x:v>规模指标</x:v>
      </x:c>
      <x:c r="F5" s="40" t="str">
        <x:v>基准年相关收入（USD mm）</x:v>
      </x:c>
      <x:c r="G5" s="40" t="str">
        <x:v>TAM收入市占（%）</x:v>
      </x:c>
      <x:c r="H5" s="40" t="str">
        <x:v>市场位置</x:v>
      </x:c>
      <x:c r="I5" s="40" t="str">
        <x:v>优势 / 风险</x:v>
      </x:c>
      <x:c r="J5" s="40" t="str">
        <x:v>来源 IDs</x:v>
      </x:c>
    </x:row>
    <x:row r="6">
      <x:c r="A6" s="67" t="str">
        <x:v>被测公司（自身）</x:v>
      </x:c>
      <x:c r="B6" s="68" t="str">
        <x:v>[填写]</x:v>
      </x:c>
      <x:c r="C6" s="68" t="str">
        <x:v>[填写]</x:v>
      </x:c>
      <x:c r="D6" s="68" t="str">
        <x:v>[填写]</x:v>
      </x:c>
      <x:c r="E6" s="68" t="str">
        <x:v>[填写]</x:v>
      </x:c>
      <x:c r="F6" s="130" t="n">
        <x:f>'02_口径'!B26</x:f>
        <x:v>0</x:v>
      </x:c>
      <x:c r="G6" s="131" t="n">
        <x:f>IFERROR(F6/'09_勾稽'!B15,0)</x:f>
        <x:v>0</x:v>
      </x:c>
      <x:c r="H6" s="68" t="str">
        <x:v>[填写]</x:v>
      </x:c>
      <x:c r="I6" s="68" t="str">
        <x:v>[填写]</x:v>
      </x:c>
      <x:c r="J6" s="68" t="str">
        <x:v>SUSER-R/SUSER-U</x:v>
      </x:c>
    </x:row>
    <x:row r="7">
      <x:c r="A7" s="67"/>
      <x:c r="B7" s="68"/>
      <x:c r="C7" s="68"/>
      <x:c r="D7" s="68"/>
      <x:c r="E7" s="68"/>
      <x:c r="F7" s="130"/>
      <x:c r="G7" s="131" t="n">
        <x:f>IFERROR(F7/'09_勾稽'!B15,0)</x:f>
        <x:v>0</x:v>
      </x:c>
      <x:c r="H7" s="68"/>
      <x:c r="I7" s="68"/>
      <x:c r="J7" s="68"/>
    </x:row>
    <x:row r="8">
      <x:c r="A8" s="67"/>
      <x:c r="B8" s="68"/>
      <x:c r="C8" s="68"/>
      <x:c r="D8" s="68"/>
      <x:c r="E8" s="68"/>
      <x:c r="F8" s="130"/>
      <x:c r="G8" s="131" t="n">
        <x:f>IFERROR(F8/'09_勾稽'!B15,0)</x:f>
        <x:v>0</x:v>
      </x:c>
      <x:c r="H8" s="68"/>
      <x:c r="I8" s="68"/>
      <x:c r="J8" s="68"/>
    </x:row>
    <x:row r="9">
      <x:c r="A9" s="67"/>
      <x:c r="B9" s="68"/>
      <x:c r="C9" s="68"/>
      <x:c r="D9" s="68"/>
      <x:c r="E9" s="68"/>
      <x:c r="F9" s="130"/>
      <x:c r="G9" s="131" t="n">
        <x:f>IFERROR(F9/'09_勾稽'!B15,0)</x:f>
        <x:v>0</x:v>
      </x:c>
      <x:c r="H9" s="68"/>
      <x:c r="I9" s="68"/>
      <x:c r="J9" s="68"/>
    </x:row>
    <x:row r="10">
      <x:c r="A10" s="67"/>
      <x:c r="B10" s="68"/>
      <x:c r="C10" s="68"/>
      <x:c r="D10" s="68"/>
      <x:c r="E10" s="68"/>
      <x:c r="F10" s="130"/>
      <x:c r="G10" s="131" t="n">
        <x:f>IFERROR(F10/'09_勾稽'!B15,0)</x:f>
        <x:v>0</x:v>
      </x:c>
      <x:c r="H10" s="68"/>
      <x:c r="I10" s="68"/>
      <x:c r="J10" s="68"/>
    </x:row>
    <x:row r="11">
      <x:c r="A11" s="67"/>
      <x:c r="B11" s="68"/>
      <x:c r="C11" s="68"/>
      <x:c r="D11" s="68"/>
      <x:c r="E11" s="68"/>
      <x:c r="F11" s="130"/>
      <x:c r="G11" s="131" t="n">
        <x:f>IFERROR(F11/'09_勾稽'!B15,0)</x:f>
        <x:v>0</x:v>
      </x:c>
      <x:c r="H11" s="68"/>
      <x:c r="I11" s="68"/>
      <x:c r="J11" s="68"/>
    </x:row>
    <x:row r="12">
      <x:c r="A12" s="67"/>
      <x:c r="B12" s="68"/>
      <x:c r="C12" s="68"/>
      <x:c r="D12" s="68"/>
      <x:c r="E12" s="68"/>
      <x:c r="F12" s="130"/>
      <x:c r="G12" s="131" t="n">
        <x:f>IFERROR(F12/'09_勾稽'!B15,0)</x:f>
        <x:v>0</x:v>
      </x:c>
      <x:c r="H12" s="68"/>
      <x:c r="I12" s="68"/>
      <x:c r="J12" s="68"/>
    </x:row>
    <x:row r="13">
      <x:c r="A13" s="67"/>
      <x:c r="B13" s="68"/>
      <x:c r="C13" s="68"/>
      <x:c r="D13" s="68"/>
      <x:c r="E13" s="68"/>
      <x:c r="F13" s="130"/>
      <x:c r="G13" s="131" t="n">
        <x:f>IFERROR(F13/'09_勾稽'!B15,0)</x:f>
        <x:v>0</x:v>
      </x:c>
      <x:c r="H13" s="68"/>
      <x:c r="I13" s="68"/>
      <x:c r="J13" s="68"/>
    </x:row>
    <x:row r="14">
      <x:c r="A14" s="67"/>
      <x:c r="B14" s="68"/>
      <x:c r="C14" s="68"/>
      <x:c r="D14" s="68"/>
      <x:c r="E14" s="68"/>
      <x:c r="F14" s="130"/>
      <x:c r="G14" s="131" t="n">
        <x:f>IFERROR(F14/'09_勾稽'!B15,0)</x:f>
        <x:v>0</x:v>
      </x:c>
      <x:c r="H14" s="68"/>
      <x:c r="I14" s="68"/>
      <x:c r="J14" s="68"/>
    </x:row>
    <x:row r="15">
      <x:c r="A15" s="67"/>
      <x:c r="B15" s="68"/>
      <x:c r="C15" s="68"/>
      <x:c r="D15" s="68"/>
      <x:c r="E15" s="68"/>
      <x:c r="F15" s="130"/>
      <x:c r="G15" s="131" t="n">
        <x:f>IFERROR(F15/'09_勾稽'!B15,0)</x:f>
        <x:v>0</x:v>
      </x:c>
      <x:c r="H15" s="68"/>
      <x:c r="I15" s="68"/>
      <x:c r="J15" s="68"/>
    </x:row>
    <x:row r="16">
      <x:c r="A16" s="67"/>
      <x:c r="B16" s="68"/>
      <x:c r="C16" s="68"/>
      <x:c r="D16" s="68"/>
      <x:c r="E16" s="68"/>
      <x:c r="F16" s="130"/>
      <x:c r="G16" s="131" t="n">
        <x:f>IFERROR(F16/'09_勾稽'!B15,0)</x:f>
        <x:v>0</x:v>
      </x:c>
      <x:c r="H16" s="68"/>
      <x:c r="I16" s="68"/>
      <x:c r="J16" s="68"/>
    </x:row>
    <x:row r="17">
      <x:c r="A17" s="67"/>
      <x:c r="B17" s="68"/>
      <x:c r="C17" s="68"/>
      <x:c r="D17" s="68"/>
      <x:c r="E17" s="68"/>
      <x:c r="F17" s="130"/>
      <x:c r="G17" s="131" t="n">
        <x:f>IFERROR(F17/'09_勾稽'!B15,0)</x:f>
        <x:v>0</x:v>
      </x:c>
      <x:c r="H17" s="68"/>
      <x:c r="I17" s="68"/>
      <x:c r="J17" s="68"/>
    </x:row>
    <x:row r="18">
      <x:c r="A18" s="67"/>
      <x:c r="B18" s="68"/>
      <x:c r="C18" s="68"/>
      <x:c r="D18" s="68"/>
      <x:c r="E18" s="68"/>
      <x:c r="F18" s="130"/>
      <x:c r="G18" s="131" t="n">
        <x:f>IFERROR(F18/'09_勾稽'!B15,0)</x:f>
        <x:v>0</x:v>
      </x:c>
      <x:c r="H18" s="68"/>
      <x:c r="I18" s="68"/>
      <x:c r="J18" s="68"/>
    </x:row>
    <x:row r="19">
      <x:c r="A19" s="67"/>
      <x:c r="B19" s="68"/>
      <x:c r="C19" s="68"/>
      <x:c r="D19" s="68"/>
      <x:c r="E19" s="68"/>
      <x:c r="F19" s="130"/>
      <x:c r="G19" s="131" t="n">
        <x:f>IFERROR(F19/'09_勾稽'!B15,0)</x:f>
        <x:v>0</x:v>
      </x:c>
      <x:c r="H19" s="68"/>
      <x:c r="I19" s="68"/>
      <x:c r="J19" s="68"/>
    </x:row>
    <x:row r="20">
      <x:c r="A20" s="67"/>
      <x:c r="B20" s="68"/>
      <x:c r="C20" s="68"/>
      <x:c r="D20" s="68"/>
      <x:c r="E20" s="68"/>
      <x:c r="F20" s="130"/>
      <x:c r="G20" s="131" t="n">
        <x:f>IFERROR(F20/'09_勾稽'!B15,0)</x:f>
        <x:v>0</x:v>
      </x:c>
      <x:c r="H20" s="68"/>
      <x:c r="I20" s="68"/>
      <x:c r="J20" s="68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 ht="22" customHeight="1">
      <x:c r="A23" s="69" t="str">
        <x:v>价值归属与结构变化</x:v>
      </x:c>
      <x:c r="B23" s="69"/>
      <x:c r="C23" s="69"/>
      <x:c r="D23" s="69"/>
      <x:c r="E23" s="69"/>
      <x:c r="F23" s="69"/>
      <x:c r="G23" s="69"/>
      <x:c r="H23" s="69"/>
      <x:c r="I23" s="69"/>
      <x:c r="J23" s="69"/>
    </x:row>
    <x:row r="24" ht="30" customHeight="1">
      <x:c r="A24" s="39" t="str">
        <x:v>市场模块</x:v>
      </x:c>
      <x:c r="B24" s="40" t="str">
        <x:v>主要玩家</x:v>
      </x:c>
      <x:c r="C24" s="40" t="str">
        <x:v>收入模块</x:v>
      </x:c>
      <x:c r="D24" s="40" t="str">
        <x:v>毛利/议价权</x:v>
      </x:c>
      <x:c r="E24" s="40" t="str">
        <x:v>集中度</x:v>
      </x:c>
      <x:c r="F24" s="40" t="str">
        <x:v>增长/收缩</x:v>
      </x:c>
      <x:c r="G24" s="40" t="str">
        <x:v>关键变化</x:v>
      </x:c>
      <x:c r="H24" s="40" t="str">
        <x:v>判断</x:v>
      </x:c>
      <x:c r="I24" s="40" t="str">
        <x:v>来源 IDs</x:v>
      </x:c>
      <x:c r="J24" s="11"/>
    </x:row>
    <x:row r="25">
      <x:c r="A25" s="67"/>
      <x:c r="B25" s="68"/>
      <x:c r="C25" s="68"/>
      <x:c r="D25" s="68"/>
      <x:c r="E25" s="68"/>
      <x:c r="F25" s="68"/>
      <x:c r="G25" s="68"/>
      <x:c r="H25" s="68"/>
      <x:c r="I25" s="68"/>
      <x:c r="J25" s="11"/>
    </x:row>
    <x:row r="26">
      <x:c r="A26" s="67"/>
      <x:c r="B26" s="68"/>
      <x:c r="C26" s="68"/>
      <x:c r="D26" s="68"/>
      <x:c r="E26" s="68"/>
      <x:c r="F26" s="68"/>
      <x:c r="G26" s="68"/>
      <x:c r="H26" s="68"/>
      <x:c r="I26" s="68"/>
      <x:c r="J26" s="11"/>
    </x:row>
    <x:row r="27">
      <x:c r="A27" s="67"/>
      <x:c r="B27" s="68"/>
      <x:c r="C27" s="68"/>
      <x:c r="D27" s="68"/>
      <x:c r="E27" s="68"/>
      <x:c r="F27" s="68"/>
      <x:c r="G27" s="68"/>
      <x:c r="H27" s="68"/>
      <x:c r="I27" s="68"/>
      <x:c r="J27" s="11"/>
    </x:row>
    <x:row r="28">
      <x:c r="A28" s="67"/>
      <x:c r="B28" s="68"/>
      <x:c r="C28" s="68"/>
      <x:c r="D28" s="68"/>
      <x:c r="E28" s="68"/>
      <x:c r="F28" s="68"/>
      <x:c r="G28" s="68"/>
      <x:c r="H28" s="68"/>
      <x:c r="I28" s="68"/>
      <x:c r="J28" s="11"/>
    </x:row>
    <x:row r="29">
      <x:c r="A29" s="67"/>
      <x:c r="B29" s="68"/>
      <x:c r="C29" s="68"/>
      <x:c r="D29" s="68"/>
      <x:c r="E29" s="68"/>
      <x:c r="F29" s="68"/>
      <x:c r="G29" s="68"/>
      <x:c r="H29" s="68"/>
      <x:c r="I29" s="68"/>
      <x:c r="J29" s="11"/>
    </x:row>
    <x:row r="30">
      <x:c r="A30" s="67"/>
      <x:c r="B30" s="68"/>
      <x:c r="C30" s="68"/>
      <x:c r="D30" s="68"/>
      <x:c r="E30" s="68"/>
      <x:c r="F30" s="68"/>
      <x:c r="G30" s="68"/>
      <x:c r="H30" s="68"/>
      <x:c r="I30" s="68"/>
      <x:c r="J30" s="11"/>
    </x:row>
    <x:row r="31">
      <x:c r="A31" s="67"/>
      <x:c r="B31" s="68"/>
      <x:c r="C31" s="68"/>
      <x:c r="D31" s="68"/>
      <x:c r="E31" s="68"/>
      <x:c r="F31" s="68"/>
      <x:c r="G31" s="68"/>
      <x:c r="H31" s="68"/>
      <x:c r="I31" s="68"/>
      <x:c r="J31" s="11"/>
    </x:row>
    <x:row r="32">
      <x:c r="A32" s="67"/>
      <x:c r="B32" s="68"/>
      <x:c r="C32" s="68"/>
      <x:c r="D32" s="68"/>
      <x:c r="E32" s="68"/>
      <x:c r="F32" s="68"/>
      <x:c r="G32" s="68"/>
      <x:c r="H32" s="68"/>
      <x:c r="I32" s="68"/>
      <x:c r="J32" s="11"/>
    </x:row>
    <x:row r="33">
      <x:c r="A33" s="67"/>
      <x:c r="B33" s="68"/>
      <x:c r="C33" s="68"/>
      <x:c r="D33" s="68"/>
      <x:c r="E33" s="68"/>
      <x:c r="F33" s="68"/>
      <x:c r="G33" s="68"/>
      <x:c r="H33" s="68"/>
      <x:c r="I33" s="68"/>
      <x:c r="J33" s="11"/>
    </x:row>
    <x:row r="34">
      <x:c r="A34" s="67"/>
      <x:c r="B34" s="68"/>
      <x:c r="C34" s="68"/>
      <x:c r="D34" s="68"/>
      <x:c r="E34" s="68"/>
      <x:c r="F34" s="68"/>
      <x:c r="G34" s="68"/>
      <x:c r="H34" s="68"/>
      <x:c r="I34" s="68"/>
      <x:c r="J34" s="11"/>
    </x:row>
    <x:row r="35">
      <x:c r="A35" s="67"/>
      <x:c r="B35" s="68"/>
      <x:c r="C35" s="68"/>
      <x:c r="D35" s="68"/>
      <x:c r="E35" s="68"/>
      <x:c r="F35" s="68"/>
      <x:c r="G35" s="68"/>
      <x:c r="H35" s="68"/>
      <x:c r="I35" s="68"/>
      <x:c r="J35" s="11"/>
    </x:row>
    <x:row r="36">
      <x:c r="A36" s="67"/>
      <x:c r="B36" s="68"/>
      <x:c r="C36" s="68"/>
      <x:c r="D36" s="68"/>
      <x:c r="E36" s="68"/>
      <x:c r="F36" s="68"/>
      <x:c r="G36" s="68"/>
      <x:c r="H36" s="68"/>
      <x:c r="I36" s="68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 ht="22" customHeight="1">
      <x:c r="A39" s="69" t="str">
        <x:v>关键成功因素 KSF</x:v>
      </x:c>
      <x:c r="B39" s="69"/>
      <x:c r="C39" s="69"/>
      <x:c r="D39" s="69"/>
      <x:c r="E39" s="69"/>
      <x:c r="F39" s="69"/>
      <x:c r="G39" s="69"/>
      <x:c r="H39" s="69"/>
      <x:c r="I39" s="69"/>
      <x:c r="J39" s="69"/>
    </x:row>
    <x:row r="40" ht="30" customHeight="1">
      <x:c r="A40" s="39" t="str">
        <x:v>KSF</x:v>
      </x:c>
      <x:c r="B40" s="40" t="str">
        <x:v>能力</x:v>
      </x:c>
      <x:c r="C40" s="40" t="str">
        <x:v>经营指标</x:v>
      </x:c>
      <x:c r="D40" s="40" t="str">
        <x:v>经济结果</x:v>
      </x:c>
      <x:c r="E40" s="40" t="str">
        <x:v>门槛/差异化</x:v>
      </x:c>
      <x:c r="F40" s="40" t="str">
        <x:v>优先级</x:v>
      </x:c>
      <x:c r="G40" s="40" t="str">
        <x:v>关键证据</x:v>
      </x:c>
      <x:c r="H40" s="40" t="str">
        <x:v>领先指标/阈值</x:v>
      </x:c>
      <x:c r="I40" s="40" t="str">
        <x:v>来源 IDs</x:v>
      </x:c>
      <x:c r="J40" s="11"/>
    </x:row>
    <x:row r="41">
      <x:c r="A41" s="67"/>
      <x:c r="B41" s="68"/>
      <x:c r="C41" s="68"/>
      <x:c r="D41" s="68"/>
      <x:c r="E41" s="68"/>
      <x:c r="F41" s="68"/>
      <x:c r="G41" s="68"/>
      <x:c r="H41" s="68"/>
      <x:c r="I41" s="68"/>
      <x:c r="J41" s="11"/>
    </x:row>
    <x:row r="42">
      <x:c r="A42" s="67"/>
      <x:c r="B42" s="68"/>
      <x:c r="C42" s="68"/>
      <x:c r="D42" s="68"/>
      <x:c r="E42" s="68"/>
      <x:c r="F42" s="68"/>
      <x:c r="G42" s="68"/>
      <x:c r="H42" s="68"/>
      <x:c r="I42" s="68"/>
      <x:c r="J42" s="11"/>
    </x:row>
    <x:row r="43">
      <x:c r="A43" s="67"/>
      <x:c r="B43" s="68"/>
      <x:c r="C43" s="68"/>
      <x:c r="D43" s="68"/>
      <x:c r="E43" s="68"/>
      <x:c r="F43" s="68"/>
      <x:c r="G43" s="68"/>
      <x:c r="H43" s="68"/>
      <x:c r="I43" s="68"/>
      <x:c r="J43" s="11"/>
    </x:row>
    <x:row r="44">
      <x:c r="A44" s="67"/>
      <x:c r="B44" s="68"/>
      <x:c r="C44" s="68"/>
      <x:c r="D44" s="68"/>
      <x:c r="E44" s="68"/>
      <x:c r="F44" s="68"/>
      <x:c r="G44" s="68"/>
      <x:c r="H44" s="68"/>
      <x:c r="I44" s="68"/>
      <x:c r="J44" s="11"/>
    </x:row>
    <x:row r="45">
      <x:c r="A45" s="67"/>
      <x:c r="B45" s="68"/>
      <x:c r="C45" s="68"/>
      <x:c r="D45" s="68"/>
      <x:c r="E45" s="68"/>
      <x:c r="F45" s="68"/>
      <x:c r="G45" s="68"/>
      <x:c r="H45" s="68"/>
      <x:c r="I45" s="68"/>
      <x:c r="J45" s="11"/>
    </x:row>
    <x:row r="46">
      <x:c r="A46" s="67"/>
      <x:c r="B46" s="68"/>
      <x:c r="C46" s="68"/>
      <x:c r="D46" s="68"/>
      <x:c r="E46" s="68"/>
      <x:c r="F46" s="68"/>
      <x:c r="G46" s="68"/>
      <x:c r="H46" s="68"/>
      <x:c r="I46" s="68"/>
      <x:c r="J46" s="11"/>
    </x:row>
    <x:row r="47">
      <x:c r="A47" s="67"/>
      <x:c r="B47" s="68"/>
      <x:c r="C47" s="68"/>
      <x:c r="D47" s="68"/>
      <x:c r="E47" s="68"/>
      <x:c r="F47" s="68"/>
      <x:c r="G47" s="68"/>
      <x:c r="H47" s="68"/>
      <x:c r="I47" s="68"/>
      <x:c r="J47" s="11"/>
    </x:row>
    <x:row r="48">
      <x:c r="A48" s="67"/>
      <x:c r="B48" s="68"/>
      <x:c r="C48" s="68"/>
      <x:c r="D48" s="68"/>
      <x:c r="E48" s="68"/>
      <x:c r="F48" s="68"/>
      <x:c r="G48" s="68"/>
      <x:c r="H48" s="68"/>
      <x:c r="I48" s="68"/>
      <x:c r="J48" s="11"/>
    </x:row>
    <x:row r="49">
      <x:c r="A49" s="67"/>
      <x:c r="B49" s="68"/>
      <x:c r="C49" s="68"/>
      <x:c r="D49" s="68"/>
      <x:c r="E49" s="68"/>
      <x:c r="F49" s="68"/>
      <x:c r="G49" s="68"/>
      <x:c r="H49" s="68"/>
      <x:c r="I49" s="68"/>
      <x:c r="J49" s="11"/>
    </x:row>
    <x:row r="50">
      <x:c r="A50" s="67"/>
      <x:c r="B50" s="68"/>
      <x:c r="C50" s="68"/>
      <x:c r="D50" s="68"/>
      <x:c r="E50" s="68"/>
      <x:c r="F50" s="68"/>
      <x:c r="G50" s="68"/>
      <x:c r="H50" s="68"/>
      <x:c r="I50" s="68"/>
      <x:c r="J50" s="11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2" customHeight="1">
      <x:c r="A53" s="9" t="str">
        <x:v>结论与可证伪点</x:v>
      </x:c>
      <x:c r="B53" s="9"/>
      <x:c r="C53" s="9"/>
      <x:c r="D53" s="9"/>
      <x:c r="E53" s="9"/>
      <x:c r="F53" s="9"/>
      <x:c r="G53" s="9"/>
      <x:c r="H53" s="9"/>
      <x:c r="I53" s="9"/>
      <x:c r="J53" s="9"/>
    </x:row>
    <x:row r="54">
      <x:c r="A54" s="129" t="str">
        <x:v>1. 当前市场结构</x:v>
      </x:c>
      <x:c r="B54" s="129"/>
      <x:c r="C54" s="120" t="str">
        <x:v>[写出结论，并标注来源 IDs 或分析判断]</x:v>
      </x:c>
      <x:c r="D54" s="120"/>
      <x:c r="E54" s="120"/>
      <x:c r="F54" s="120"/>
      <x:c r="G54" s="120"/>
      <x:c r="H54" s="120"/>
      <x:c r="I54" s="120"/>
      <x:c r="J54" s="120"/>
    </x:row>
    <x:row r="55">
      <x:c r="A55" s="129"/>
      <x:c r="B55" s="129"/>
      <x:c r="C55" s="120"/>
      <x:c r="D55" s="120"/>
      <x:c r="E55" s="120"/>
      <x:c r="F55" s="120"/>
      <x:c r="G55" s="120"/>
      <x:c r="H55" s="120"/>
      <x:c r="I55" s="120"/>
      <x:c r="J55" s="120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129" t="str">
        <x:v>2. 需求与价值链如何变化</x:v>
      </x:c>
      <x:c r="B57" s="129"/>
      <x:c r="C57" s="120" t="str">
        <x:v>[写出结论，并标注来源 IDs 或分析判断]</x:v>
      </x:c>
      <x:c r="D57" s="120"/>
      <x:c r="E57" s="120"/>
      <x:c r="F57" s="120"/>
      <x:c r="G57" s="120"/>
      <x:c r="H57" s="120"/>
      <x:c r="I57" s="120"/>
      <x:c r="J57" s="120"/>
    </x:row>
    <x:row r="58">
      <x:c r="A58" s="129"/>
      <x:c r="B58" s="129"/>
      <x:c r="C58" s="120"/>
      <x:c r="D58" s="120"/>
      <x:c r="E58" s="120"/>
      <x:c r="F58" s="120"/>
      <x:c r="G58" s="120"/>
      <x:c r="H58" s="120"/>
      <x:c r="I58" s="120"/>
      <x:c r="J58" s="120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129" t="str">
        <x:v>3. 竞争加剧或商品化位置</x:v>
      </x:c>
      <x:c r="B60" s="129"/>
      <x:c r="C60" s="120" t="str">
        <x:v>[写出结论，并标注来源 IDs 或分析判断]</x:v>
      </x:c>
      <x:c r="D60" s="120"/>
      <x:c r="E60" s="120"/>
      <x:c r="F60" s="120"/>
      <x:c r="G60" s="120"/>
      <x:c r="H60" s="120"/>
      <x:c r="I60" s="120"/>
      <x:c r="J60" s="120"/>
    </x:row>
    <x:row r="61">
      <x:c r="A61" s="129"/>
      <x:c r="B61" s="129"/>
      <x:c r="C61" s="120"/>
      <x:c r="D61" s="120"/>
      <x:c r="E61" s="120"/>
      <x:c r="F61" s="120"/>
      <x:c r="G61" s="120"/>
      <x:c r="H61" s="120"/>
      <x:c r="I61" s="120"/>
      <x:c r="J61" s="120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129" t="str">
        <x:v>4. 最重要的 3–5 个 KSF</x:v>
      </x:c>
      <x:c r="B63" s="129"/>
      <x:c r="C63" s="120" t="str">
        <x:v>[写出结论，并标注来源 IDs 或分析判断]</x:v>
      </x:c>
      <x:c r="D63" s="120"/>
      <x:c r="E63" s="120"/>
      <x:c r="F63" s="120"/>
      <x:c r="G63" s="120"/>
      <x:c r="H63" s="120"/>
      <x:c r="I63" s="120"/>
      <x:c r="J63" s="120"/>
    </x:row>
    <x:row r="64">
      <x:c r="A64" s="129"/>
      <x:c r="B64" s="129"/>
      <x:c r="C64" s="120"/>
      <x:c r="D64" s="120"/>
      <x:c r="E64" s="120"/>
      <x:c r="F64" s="120"/>
      <x:c r="G64" s="120"/>
      <x:c r="H64" s="120"/>
      <x:c r="I64" s="120"/>
      <x:c r="J64" s="120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129" t="str">
        <x:v>5. 证伪事实与更新触发点</x:v>
      </x:c>
      <x:c r="B66" s="129"/>
      <x:c r="C66" s="120" t="str">
        <x:v>[写出结论，并标注来源 IDs 或分析判断]</x:v>
      </x:c>
      <x:c r="D66" s="120"/>
      <x:c r="E66" s="120"/>
      <x:c r="F66" s="120"/>
      <x:c r="G66" s="120"/>
      <x:c r="H66" s="120"/>
      <x:c r="I66" s="120"/>
      <x:c r="J66" s="120"/>
    </x:row>
    <x:row r="67">
      <x:c r="A67" s="129"/>
      <x:c r="B67" s="129"/>
      <x:c r="C67" s="120"/>
      <x:c r="D67" s="120"/>
      <x:c r="E67" s="120"/>
      <x:c r="F67" s="120"/>
      <x:c r="G67" s="120"/>
      <x:c r="H67" s="120"/>
      <x:c r="I67" s="120"/>
      <x:c r="J67" s="120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1:J1"/>
    <x:mergeCell ref="A2:J2"/>
    <x:mergeCell ref="A4:J4"/>
    <x:mergeCell ref="A23:J23"/>
    <x:mergeCell ref="A39:J39"/>
    <x:mergeCell ref="A53:J53"/>
    <x:mergeCell ref="A54:B55"/>
    <x:mergeCell ref="C54:J55"/>
    <x:mergeCell ref="A57:B58"/>
    <x:mergeCell ref="C57:J58"/>
    <x:mergeCell ref="A60:B61"/>
    <x:mergeCell ref="C60:J61"/>
    <x:mergeCell ref="A63:B64"/>
    <x:mergeCell ref="C63:J64"/>
    <x:mergeCell ref="A66:B67"/>
    <x:mergeCell ref="C66:J6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6" hidden="0" customWidth="1"/>
    <x:col min="5" max="5" width="14" hidden="0" customWidth="1"/>
    <x:col min="6" max="6" width="14" hidden="0" customWidth="1"/>
    <x:col min="7" max="7" width="52" hidden="0" customWidth="1"/>
  </x:cols>
  <x:sheetData>
    <x:row r="1" ht="34" customHeight="1">
      <x:c r="A1" s="4" t="str">
        <x:v>12｜模型检查</x:v>
      </x:c>
      <x:c r="B1" s="4"/>
      <x:c r="C1" s="4"/>
      <x:c r="D1" s="4"/>
      <x:c r="E1" s="4"/>
      <x:c r="F1" s="4"/>
      <x:c r="G1" s="4"/>
    </x:row>
    <x:row r="2" ht="25" customHeight="1">
      <x:c r="A2" s="7" t="str">
        <x:v>每项检查必须为 OK；手工检查完成后把实际结果和说明写入台账。</x:v>
      </x:c>
      <x:c r="B2" s="7"/>
      <x:c r="C2" s="7"/>
      <x:c r="D2" s="7"/>
      <x:c r="E2" s="7"/>
      <x:c r="F2" s="7"/>
      <x:c r="G2" s="7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39" t="str">
        <x:v>检查项</x:v>
      </x:c>
      <x:c r="B5" s="40" t="str">
        <x:v>Actual</x:v>
      </x:c>
      <x:c r="C5" s="40" t="str">
        <x:v>Expected</x:v>
      </x:c>
      <x:c r="D5" s="40" t="str">
        <x:v>Difference</x:v>
      </x:c>
      <x:c r="E5" s="40" t="str">
        <x:v>Tolerance</x:v>
      </x:c>
      <x:c r="F5" s="40" t="str">
        <x:v>Status</x:v>
      </x:c>
      <x:c r="G5" s="40" t="str">
        <x:v>说明 / 修复位置</x:v>
      </x:c>
    </x:row>
    <x:row r="6">
      <x:c r="A6" s="99" t="str">
        <x:v>勾稽权重</x:v>
      </x:c>
      <x:c r="B6" s="132" t="n">
        <x:f>'09_勾稽'!F12</x:f>
        <x:v>1</x:v>
      </x:c>
      <x:c r="C6" s="15" t="n">
        <x:v>1</x:v>
      </x:c>
      <x:c r="D6" s="133" t="n">
        <x:f>B6-C6</x:f>
        <x:v>0</x:v>
      </x:c>
      <x:c r="E6" s="133" t="n">
        <x:v>0.0001</x:v>
      </x:c>
      <x:c r="F6" s="133" t="str">
        <x:f>IF(ABS(D6)&lt;=E6,"OK","CHECK")</x:f>
        <x:v>OK</x:v>
      </x:c>
      <x:c r="G6" s="15" t="str">
        <x:v>09_勾稽!F6:F10</x:v>
      </x:c>
    </x:row>
    <x:row r="7">
      <x:c r="A7" s="99" t="str">
        <x:v>方法 Low ≤ Point ≤ High</x:v>
      </x:c>
      <x:c r="B7" s="132" t="n">
        <x:f>IF(AND('09_勾稽'!C6&lt;='09_勾稽'!B6,'09_勾稽'!B6&lt;='09_勾稽'!D6,'09_勾稽'!C7&lt;='09_勾稽'!B7,'09_勾稽'!B7&lt;='09_勾稽'!D7,'09_勾稽'!C8&lt;='09_勾稽'!B8,'09_勾稽'!B8&lt;='09_勾稽'!D8,'09_勾稽'!C9&lt;='09_勾稽'!B9,'09_勾稽'!B9&lt;='09_勾稽'!D9,'09_勾稽'!C10&lt;='09_勾稽'!B10,'09_勾稽'!B10&lt;='09_勾稽'!D10),1,0)</x:f>
        <x:v>1</x:v>
      </x:c>
      <x:c r="C7" s="15" t="n">
        <x:v>1</x:v>
      </x:c>
      <x:c r="D7" s="133" t="n">
        <x:f>B7-C7</x:f>
        <x:v>0</x:v>
      </x:c>
      <x:c r="E7" s="133" t="n">
        <x:v>0</x:v>
      </x:c>
      <x:c r="F7" s="133" t="str">
        <x:f>IF(D7=0,"OK","CHECK")</x:f>
        <x:v>OK</x:v>
      </x:c>
      <x:c r="G7" s="15" t="str">
        <x:v>09_勾稽!B6:D10</x:v>
      </x:c>
    </x:row>
    <x:row r="8">
      <x:c r="A8" s="99" t="str">
        <x:v>TAM ≥ SAM</x:v>
      </x:c>
      <x:c r="B8" s="132" t="n">
        <x:f>'09_勾稽'!B15-'09_勾稽'!B21</x:f>
        <x:v>0</x:v>
      </x:c>
      <x:c r="C8" s="15" t="n">
        <x:v>0</x:v>
      </x:c>
      <x:c r="D8" s="133" t="n">
        <x:f>MIN(B8,0)</x:f>
        <x:v>0</x:v>
      </x:c>
      <x:c r="E8" s="133" t="n">
        <x:v>0</x:v>
      </x:c>
      <x:c r="F8" s="133" t="str">
        <x:f>IF(D8=0,"OK","CHECK")</x:f>
        <x:v>OK</x:v>
      </x:c>
      <x:c r="G8" s="15" t="str">
        <x:v>09_勾稽!B15:B21</x:v>
      </x:c>
    </x:row>
    <x:row r="9">
      <x:c r="A9" s="99" t="str">
        <x:v>收入市占在 0–100%</x:v>
      </x:c>
      <x:c r="B9" s="132" t="n">
        <x:f>IF(AND('09_勾稽'!B23&gt;=0,'09_勾稽'!B23&lt;=1),1,0)</x:f>
        <x:v>1</x:v>
      </x:c>
      <x:c r="C9" s="15" t="n">
        <x:v>1</x:v>
      </x:c>
      <x:c r="D9" s="133" t="n">
        <x:f>B9-C9</x:f>
        <x:v>0</x:v>
      </x:c>
      <x:c r="E9" s="133" t="n">
        <x:v>0</x:v>
      </x:c>
      <x:c r="F9" s="133" t="str">
        <x:f>IF(D9=0,"OK","CHECK")</x:f>
        <x:v>OK</x:v>
      </x:c>
      <x:c r="G9" s="15" t="str">
        <x:v>09_勾稽!B23</x:v>
      </x:c>
    </x:row>
    <x:row r="10">
      <x:c r="A10" s="99" t="str">
        <x:v>用户市占在 0–100%</x:v>
      </x:c>
      <x:c r="B10" s="132" t="n">
        <x:f>IF(AND('09_勾稽'!B26&gt;=0,'09_勾稽'!B26&lt;=1),1,0)</x:f>
        <x:v>1</x:v>
      </x:c>
      <x:c r="C10" s="15" t="n">
        <x:v>1</x:v>
      </x:c>
      <x:c r="D10" s="133" t="n">
        <x:f>B10-C10</x:f>
        <x:v>0</x:v>
      </x:c>
      <x:c r="E10" s="133" t="n">
        <x:v>0</x:v>
      </x:c>
      <x:c r="F10" s="133" t="str">
        <x:f>IF(D10=0,"OK","CHECK")</x:f>
        <x:v>OK</x:v>
      </x:c>
      <x:c r="G10" s="15" t="str">
        <x:v>09_勾稽!B26</x:v>
      </x:c>
    </x:row>
    <x:row r="11">
      <x:c r="A11" s="99" t="str">
        <x:v>三情景 Year 0 一致</x:v>
      </x:c>
      <x:c r="B11" s="132" t="n">
        <x:f>MAX('10_情景'!B10,'10_情景'!B22,'10_情景'!B34)-MIN('10_情景'!B10,'10_情景'!B22,'10_情景'!B34)</x:f>
        <x:v>0</x:v>
      </x:c>
      <x:c r="C11" s="15" t="n">
        <x:v>0</x:v>
      </x:c>
      <x:c r="D11" s="133" t="n">
        <x:f>B11-C11</x:f>
        <x:v>0</x:v>
      </x:c>
      <x:c r="E11" s="133" t="n">
        <x:v>0.01</x:v>
      </x:c>
      <x:c r="F11" s="133" t="str">
        <x:f>IF(ABS(D11)&lt;=E11,"OK","CHECK")</x:f>
        <x:v>OK</x:v>
      </x:c>
      <x:c r="G11" s="15" t="str">
        <x:v>10_情景</x:v>
      </x:c>
    </x:row>
    <x:row r="12">
      <x:c r="A12" s="99" t="str">
        <x:v>Year 3 保守 ≤ 中性 ≤ 激进</x:v>
      </x:c>
      <x:c r="B12" s="132" t="n">
        <x:f>IF(AND('10_情景'!E10&lt;='10_情景'!E22,'10_情景'!E22&lt;='10_情景'!E34),1,0)</x:f>
        <x:v>1</x:v>
      </x:c>
      <x:c r="C12" s="15" t="n">
        <x:v>1</x:v>
      </x:c>
      <x:c r="D12" s="133" t="n">
        <x:f>B12-C12</x:f>
        <x:v>0</x:v>
      </x:c>
      <x:c r="E12" s="133" t="n">
        <x:v>0</x:v>
      </x:c>
      <x:c r="F12" s="133" t="str">
        <x:f>IF(D12=0,"OK","CHECK")</x:f>
        <x:v>OK</x:v>
      </x:c>
      <x:c r="G12" s="15" t="str">
        <x:v>10_情景!E10/E22/E34</x:v>
      </x:c>
    </x:row>
    <x:row r="13">
      <x:c r="A13" s="99" t="str">
        <x:v>来源 ID 完整</x:v>
      </x:c>
      <x:c r="B13" s="132" t="n">
        <x:f>COUNTIFS('03_来源'!$B$5:$B$204,"&lt;&gt;",'03_来源'!$A$5:$A$204,"")</x:f>
        <x:v>0</x:v>
      </x:c>
      <x:c r="C13" s="15" t="n">
        <x:v>0</x:v>
      </x:c>
      <x:c r="D13" s="133" t="n">
        <x:f>B13-C13</x:f>
        <x:v>0</x:v>
      </x:c>
      <x:c r="E13" s="133" t="n">
        <x:v>0</x:v>
      </x:c>
      <x:c r="F13" s="133" t="str">
        <x:f>IF(D13=0,"OK","CHECK")</x:f>
        <x:v>OK</x:v>
      </x:c>
      <x:c r="G13" s="15" t="str">
        <x:v>03_来源!A5:P204</x:v>
      </x:c>
    </x:row>
    <x:row r="14">
      <x:c r="A14" s="99" t="str">
        <x:v>来源与假设分离</x:v>
      </x:c>
      <x:c r="B14" s="132" t="n">
        <x:f>COUNTIF('03_来源'!$N$5:$N$204,"assumption")+COUNTIF('03_来源'!$N$5:$N$204,"calculated")</x:f>
        <x:v>0</x:v>
      </x:c>
      <x:c r="C14" s="15" t="n">
        <x:v>0</x:v>
      </x:c>
      <x:c r="D14" s="133" t="n">
        <x:f>B14-C14</x:f>
        <x:v>0</x:v>
      </x:c>
      <x:c r="E14" s="133" t="n">
        <x:v>0</x:v>
      </x:c>
      <x:c r="F14" s="133" t="str">
        <x:f>IF(D14=0,"OK","CHECK")</x:f>
        <x:v>OK</x:v>
      </x:c>
      <x:c r="G14" s="15" t="str">
        <x:v>03_来源只允许 reported / user_input</x:v>
      </x:c>
    </x:row>
    <x:row r="15">
      <x:c r="A15" s="99" t="str">
        <x:v>私营/长尾组件勾稽</x:v>
      </x:c>
      <x:c r="B15" s="132" t="n">
        <x:f>ABS('07_收入法'!C34-'07_收入法'!Q11)+ABS('07_收入法'!C35-'07_收入法'!Q19)</x:f>
        <x:v>0</x:v>
      </x:c>
      <x:c r="C15" s="15" t="n">
        <x:v>0</x:v>
      </x:c>
      <x:c r="D15" s="133" t="n">
        <x:f>B15-C15</x:f>
        <x:v>0</x:v>
      </x:c>
      <x:c r="E15" s="133" t="n">
        <x:v>0.01</x:v>
      </x:c>
      <x:c r="F15" s="133" t="str">
        <x:f>IF(ABS(D15)&lt;=E15,"OK","CHECK")</x:f>
        <x:v>OK</x:v>
      </x:c>
      <x:c r="G15" s="15" t="str">
        <x:v>07_收入法组件表</x:v>
      </x:c>
    </x:row>
    <x:row r="16">
      <x:c r="A16" s="99" t="str">
        <x:v>关键数据血缘</x:v>
      </x:c>
      <x:c r="B16" s="15" t="str">
        <x:v>工具动态测试</x:v>
      </x:c>
      <x:c r="C16" s="15" t="str">
        <x:v>来源变化联动至少 2 个下游表</x:v>
      </x:c>
      <x:c r="D16" s="15" t="str"/>
      <x:c r="E16" s="15" t="str"/>
      <x:c r="F16" s="15" t="str">
        <x:v>REVIEW</x:v>
      </x:c>
      <x:c r="G16" s="15" t="str">
        <x:v>修改一个来源值→检查下游→恢复</x:v>
      </x:c>
    </x:row>
    <x:row r="17">
      <x:c r="A17" s="99" t="str">
        <x:v>公式错误扫描</x:v>
      </x:c>
      <x:c r="B17" s="15" t="str">
        <x:v>手工/工具扫描</x:v>
      </x:c>
      <x:c r="C17" s="15" t="str">
        <x:v>0 errors</x:v>
      </x:c>
      <x:c r="D17" s="15" t="str"/>
      <x:c r="E17" s="15" t="str"/>
      <x:c r="F17" s="15" t="str">
        <x:v>REVIEW</x:v>
      </x:c>
      <x:c r="G17" s="15" t="str">
        <x:v>全工作簿 #REF/#DIV0/#VALUE/#NAME/#N/A</x:v>
      </x:c>
    </x:row>
    <x:row r="18">
      <x:c r="A18" s="99" t="str">
        <x:v>视觉检查</x:v>
      </x:c>
      <x:c r="B18" s="15" t="str">
        <x:v>逐表渲染</x:v>
      </x:c>
      <x:c r="C18" s="15" t="str">
        <x:v>无缺失表头/裁切/重叠/空图</x:v>
      </x:c>
      <x:c r="D18" s="15" t="str"/>
      <x:c r="E18" s="15" t="str"/>
      <x:c r="F18" s="15" t="str">
        <x:v>REVIEW</x:v>
      </x:c>
      <x:c r="G18" s="15" t="str">
        <x:v>所有用户可见工作表</x:v>
      </x:c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34" t="str">
        <x:v>总体状态</x:v>
      </x:c>
      <x:c r="B20" s="134"/>
      <x:c r="C20" s="134"/>
      <x:c r="D20" s="134"/>
      <x:c r="E20" s="134"/>
      <x:c r="F20" s="134" t="str">
        <x:f>IF(COUNTIF(F6:F18,"&lt;&gt;OK")=0,"OK","REVIEW")</x:f>
        <x:v>REVIEW</x:v>
      </x:c>
      <x:c r="G20" s="134" t="str">
        <x:v>只有全部自动与手工检查完成后才能交付</x:v>
      </x:c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</x:sheetData>
  <x:mergeCells>
    <x:mergeCell ref="A1:G1"/>
    <x:mergeCell ref="A2:G2"/>
    <x:mergeCell ref="A20:E20"/>
  </x:mergeCells>
  <x:conditionalFormatting sqref="F6:F20">
    <x:cfRule type="expression" dxfId="0" priority="1">
      <x:formula>F6="OK"</x:formula>
    </x:cfRule>
    <x:cfRule type="expression" dxfId="1" priority="2">
      <x:formula>OR(F6="CHECK",F6="REVIEW")</x:formula>
    </x:cfRule>
  </x:conditionalFormatting>
  <x:pageMargins left="0.7" right="0.7" top="0.75" bottom="0.75" header="0.3" footer="0.3"/>
</x:worksheet>
</file>